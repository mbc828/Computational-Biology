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全组汇总" sheetId="2" state="visible" r:id="rId2"/>
    <sheet xmlns:r="http://schemas.openxmlformats.org/officeDocument/2006/relationships" name="黄芩素核对" sheetId="3" state="visible" r:id="rId3"/>
    <sheet xmlns:r="http://schemas.openxmlformats.org/officeDocument/2006/relationships" name="说明与来源" sheetId="4" state="visible" r:id="rId4"/>
  </sheets>
  <definedNames>
    <definedName name="_xlnm._FilterDatabase" localSheetId="1" hidden="1">'全组汇总'!$A$1:$J$17</definedName>
    <definedName name="_xlnm._FilterDatabase" localSheetId="2" hidden="1">'黄芩素核对'!$A$1:$J$5</definedName>
  </definedNames>
  <calcPr calcMode="auto" fullCalcOnLoad="1" forceFullCalc="1" calcId="124519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黄芩素浓度与平板计数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'黄芩素核对'!I1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'黄芩素核对'!$A$2:$A$5</f>
            </numRef>
          </cat>
          <val>
            <numRef>
              <f>'黄芩素核对'!$I$2:$I$5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黄芩素浓度（μg/mL）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CFU/mL（按原表规则换算）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58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42" customHeight="1">
      <c r="A1" s="1" t="inlineStr">
        <is>
          <t>药品/复板</t>
        </is>
      </c>
      <c r="B1" s="1" t="inlineStr">
        <is>
          <t>DMSO（64）</t>
        </is>
      </c>
      <c r="C1" s="1" t="inlineStr">
        <is>
          <t>对照（旧）</t>
        </is>
      </c>
      <c r="D1" s="1" t="inlineStr">
        <is>
          <t>小檗碱（64）</t>
        </is>
      </c>
      <c r="E1" s="1" t="inlineStr">
        <is>
          <t>小檗碱（32）</t>
        </is>
      </c>
      <c r="F1" s="1" t="inlineStr">
        <is>
          <t>小檗碱（16）</t>
        </is>
      </c>
      <c r="G1" s="1" t="inlineStr">
        <is>
          <t>DMSO（16）</t>
        </is>
      </c>
      <c r="H1" s="1" t="inlineStr">
        <is>
          <t>汉黄芩素（64）</t>
        </is>
      </c>
      <c r="I1" s="1" t="inlineStr">
        <is>
          <t>汉黄芩素（32）</t>
        </is>
      </c>
      <c r="J1" s="1" t="inlineStr">
        <is>
          <t>汉黄芩素（16）</t>
        </is>
      </c>
      <c r="K1" s="1" t="inlineStr">
        <is>
          <t>黄芩素（64）</t>
        </is>
      </c>
      <c r="L1" s="1" t="inlineStr">
        <is>
          <t>黄芩素（32）</t>
        </is>
      </c>
      <c r="M1" s="1" t="inlineStr">
        <is>
          <t>黄芩素（16）</t>
        </is>
      </c>
      <c r="N1" s="1" t="inlineStr">
        <is>
          <t>大黄素（16）</t>
        </is>
      </c>
      <c r="O1" s="1" t="inlineStr">
        <is>
          <t>大黄素（8）</t>
        </is>
      </c>
      <c r="P1" s="1" t="inlineStr">
        <is>
          <t>大黄素（4）</t>
        </is>
      </c>
      <c r="Q1" s="1" t="inlineStr">
        <is>
          <t>对照（新）</t>
        </is>
      </c>
    </row>
    <row r="2">
      <c r="A2" t="n">
        <v>1</v>
      </c>
      <c r="B2" t="n">
        <v>244</v>
      </c>
      <c r="C2" t="n">
        <v>328</v>
      </c>
      <c r="D2" t="n">
        <v>0</v>
      </c>
      <c r="E2" t="n">
        <v>309</v>
      </c>
      <c r="F2" t="n">
        <v>532</v>
      </c>
      <c r="G2" t="n">
        <v>696</v>
      </c>
      <c r="H2" t="n">
        <v>800</v>
      </c>
      <c r="I2" t="n">
        <v>732</v>
      </c>
      <c r="J2" t="n">
        <v>854</v>
      </c>
      <c r="K2" t="n">
        <v>0</v>
      </c>
      <c r="L2" t="n">
        <v>476</v>
      </c>
      <c r="M2" t="n">
        <v>668</v>
      </c>
      <c r="N2" t="n">
        <v>0</v>
      </c>
      <c r="O2" t="n">
        <v>294</v>
      </c>
      <c r="P2" t="n">
        <v>308</v>
      </c>
      <c r="Q2" t="n">
        <v>726</v>
      </c>
    </row>
    <row r="3">
      <c r="A3" t="n">
        <v>2</v>
      </c>
      <c r="B3" t="n">
        <v>229</v>
      </c>
      <c r="C3" t="n">
        <v>302</v>
      </c>
      <c r="D3" t="n">
        <v>0</v>
      </c>
      <c r="F3" t="n">
        <v>484</v>
      </c>
      <c r="G3" t="n">
        <v>636</v>
      </c>
      <c r="H3" t="n">
        <v>755</v>
      </c>
      <c r="I3" t="n">
        <v>783</v>
      </c>
      <c r="J3" t="n">
        <v>821</v>
      </c>
      <c r="K3" t="n">
        <v>0</v>
      </c>
      <c r="L3" t="n">
        <v>481</v>
      </c>
      <c r="M3" t="n">
        <v>654</v>
      </c>
      <c r="N3" t="n">
        <v>0</v>
      </c>
      <c r="O3" t="n">
        <v>295</v>
      </c>
      <c r="P3" t="n">
        <v>324</v>
      </c>
      <c r="Q3" t="n">
        <v>711</v>
      </c>
    </row>
    <row r="4">
      <c r="A4" t="n">
        <v>3</v>
      </c>
      <c r="G4" t="n">
        <v>687</v>
      </c>
      <c r="H4" t="n">
        <v>771</v>
      </c>
      <c r="I4" t="n">
        <v>802</v>
      </c>
      <c r="J4" t="n">
        <v>761</v>
      </c>
      <c r="K4" t="n">
        <v>0</v>
      </c>
      <c r="L4" t="n">
        <v>597</v>
      </c>
      <c r="M4" t="n">
        <v>641</v>
      </c>
      <c r="N4" t="n">
        <v>0</v>
      </c>
      <c r="O4" t="n">
        <v>284</v>
      </c>
      <c r="P4" t="n">
        <v>311</v>
      </c>
      <c r="Q4" t="n">
        <v>672</v>
      </c>
    </row>
    <row r="5">
      <c r="A5" t="inlineStr">
        <is>
          <t>来源说明</t>
        </is>
      </c>
      <c r="B5" t="inlineStr">
        <is>
          <t>体外抗菌.xlsx / Sheet1；A2:A4 为复板编号，空白表示原表未记录。</t>
        </is>
      </c>
    </row>
    <row r="6" ht="32" customHeight="1">
      <c r="A6" s="2" t="inlineStr">
        <is>
          <t>原表换算规则</t>
        </is>
      </c>
      <c r="B6" s="3" t="inlineStr">
        <is>
          <t>CFU/mL = 菌落数 × 10^6（原表注明：稀释 5 次、取 0.1 mL）</t>
        </is>
      </c>
    </row>
    <row r="7" ht="32" customHeight="1">
      <c r="A7" s="2" t="inlineStr">
        <is>
          <t>浓度单位</t>
        </is>
      </c>
      <c r="B7" s="3" t="inlineStr">
        <is>
          <t>已经作者确认：抗菌实验表内 16/32/64 等数值的单位与正文一致，均为 μg/mL。</t>
        </is>
      </c>
    </row>
    <row r="8" ht="32" customHeight="1">
      <c r="A8" s="2" t="inlineStr">
        <is>
          <t>原表备注</t>
        </is>
      </c>
      <c r="B8" s="3" t="inlineStr">
        <is>
          <t>对照（旧）标注“有问题”；复板均值按实际非空复板计算。</t>
        </is>
      </c>
    </row>
    <row r="9" ht="32" customHeight="1">
      <c r="A9" s="2" t="n"/>
      <c r="B9" s="3" t="n"/>
    </row>
  </sheetData>
  <mergeCells count="4">
    <mergeCell ref="B7:Q7"/>
    <mergeCell ref="B9:Q9"/>
    <mergeCell ref="B8:Q8"/>
    <mergeCell ref="B6:Q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8" customWidth="1" min="9" max="9"/>
    <col width="24" customWidth="1" min="10" max="10"/>
  </cols>
  <sheetData>
    <row r="1" ht="38" customHeight="1">
      <c r="A1" s="1" t="inlineStr">
        <is>
          <t>组别</t>
        </is>
      </c>
      <c r="B1" s="1" t="inlineStr">
        <is>
          <t>原表浓度标识（μg/mL）</t>
        </is>
      </c>
      <c r="C1" s="1" t="inlineStr">
        <is>
          <t>复板1</t>
        </is>
      </c>
      <c r="D1" s="1" t="inlineStr">
        <is>
          <t>复板2</t>
        </is>
      </c>
      <c r="E1" s="1" t="inlineStr">
        <is>
          <t>复板3</t>
        </is>
      </c>
      <c r="F1" s="1" t="inlineStr">
        <is>
          <t>有效复板数</t>
        </is>
      </c>
      <c r="G1" s="1" t="inlineStr">
        <is>
          <t>菌落均值</t>
        </is>
      </c>
      <c r="H1" s="1" t="inlineStr">
        <is>
          <t>菌落SD</t>
        </is>
      </c>
      <c r="I1" s="1" t="inlineStr">
        <is>
          <t>均值CFU/mL</t>
        </is>
      </c>
      <c r="J1" s="1" t="inlineStr">
        <is>
          <t>记录完整性</t>
        </is>
      </c>
    </row>
    <row r="2">
      <c r="A2" s="4" t="inlineStr">
        <is>
          <t>DMSO</t>
        </is>
      </c>
      <c r="B2" s="4" t="inlineStr">
        <is>
          <t>64</t>
        </is>
      </c>
      <c r="C2" s="4">
        <f>IF('原始数据'!B2="","",'原始数据'!B2)</f>
        <v/>
      </c>
      <c r="D2" s="4">
        <f>IF('原始数据'!B3="","",'原始数据'!B3)</f>
        <v/>
      </c>
      <c r="E2" s="4">
        <f>IF('原始数据'!B4="","",'原始数据'!B4)</f>
        <v/>
      </c>
      <c r="F2" s="4">
        <f>COUNT(C2:E2)</f>
        <v/>
      </c>
      <c r="G2" s="5">
        <f>IF(F2&gt;0,AVERAGE(C2:E2),"")</f>
        <v/>
      </c>
      <c r="H2" s="5">
        <f>IF(F2&gt;1,STDEV.S(C2:E2),"")</f>
        <v/>
      </c>
      <c r="I2" s="6">
        <f>IF(F2&gt;0,G2*1000000,"")</f>
        <v/>
      </c>
      <c r="J2" s="4">
        <f>IF(F2=3,"3个复板",IF(F2=0,"无复板记录","仅"&amp;F2&amp;"个复板"))</f>
        <v/>
      </c>
    </row>
    <row r="3">
      <c r="A3" s="4" t="inlineStr">
        <is>
          <t>对照</t>
        </is>
      </c>
      <c r="B3" s="4" t="inlineStr">
        <is>
          <t>旧</t>
        </is>
      </c>
      <c r="C3" s="4">
        <f>IF('原始数据'!C2="","",'原始数据'!C2)</f>
        <v/>
      </c>
      <c r="D3" s="4">
        <f>IF('原始数据'!C3="","",'原始数据'!C3)</f>
        <v/>
      </c>
      <c r="E3" s="4">
        <f>IF('原始数据'!C4="","",'原始数据'!C4)</f>
        <v/>
      </c>
      <c r="F3" s="4">
        <f>COUNT(C3:E3)</f>
        <v/>
      </c>
      <c r="G3" s="5">
        <f>IF(F3&gt;0,AVERAGE(C3:E3),"")</f>
        <v/>
      </c>
      <c r="H3" s="5">
        <f>IF(F3&gt;1,STDEV.S(C3:E3),"")</f>
        <v/>
      </c>
      <c r="I3" s="6">
        <f>IF(F3&gt;0,G3*1000000,"")</f>
        <v/>
      </c>
      <c r="J3" s="4">
        <f>IF(F3=3,"3个复板",IF(F3=0,"无复板记录","仅"&amp;F3&amp;"个复板"))</f>
        <v/>
      </c>
    </row>
    <row r="4">
      <c r="A4" s="4" t="inlineStr">
        <is>
          <t>小檗碱</t>
        </is>
      </c>
      <c r="B4" s="4" t="inlineStr">
        <is>
          <t>64</t>
        </is>
      </c>
      <c r="C4" s="4">
        <f>IF('原始数据'!D2="","",'原始数据'!D2)</f>
        <v/>
      </c>
      <c r="D4" s="4">
        <f>IF('原始数据'!D3="","",'原始数据'!D3)</f>
        <v/>
      </c>
      <c r="E4" s="4">
        <f>IF('原始数据'!D4="","",'原始数据'!D4)</f>
        <v/>
      </c>
      <c r="F4" s="4">
        <f>COUNT(C4:E4)</f>
        <v/>
      </c>
      <c r="G4" s="5">
        <f>IF(F4&gt;0,AVERAGE(C4:E4),"")</f>
        <v/>
      </c>
      <c r="H4" s="5">
        <f>IF(F4&gt;1,STDEV.S(C4:E4),"")</f>
        <v/>
      </c>
      <c r="I4" s="6">
        <f>IF(F4&gt;0,G4*1000000,"")</f>
        <v/>
      </c>
      <c r="J4" s="4">
        <f>IF(F4=3,"3个复板",IF(F4=0,"无复板记录","仅"&amp;F4&amp;"个复板"))</f>
        <v/>
      </c>
    </row>
    <row r="5">
      <c r="A5" s="4" t="inlineStr">
        <is>
          <t>小檗碱</t>
        </is>
      </c>
      <c r="B5" s="4" t="inlineStr">
        <is>
          <t>32</t>
        </is>
      </c>
      <c r="C5" s="4">
        <f>IF('原始数据'!E2="","",'原始数据'!E2)</f>
        <v/>
      </c>
      <c r="D5" s="4">
        <f>IF('原始数据'!E3="","",'原始数据'!E3)</f>
        <v/>
      </c>
      <c r="E5" s="4">
        <f>IF('原始数据'!E4="","",'原始数据'!E4)</f>
        <v/>
      </c>
      <c r="F5" s="4">
        <f>COUNT(C5:E5)</f>
        <v/>
      </c>
      <c r="G5" s="5">
        <f>IF(F5&gt;0,AVERAGE(C5:E5),"")</f>
        <v/>
      </c>
      <c r="H5" s="5">
        <f>IF(F5&gt;1,STDEV.S(C5:E5),"")</f>
        <v/>
      </c>
      <c r="I5" s="6">
        <f>IF(F5&gt;0,G5*1000000,"")</f>
        <v/>
      </c>
      <c r="J5" s="4">
        <f>IF(F5=3,"3个复板",IF(F5=0,"无复板记录","仅"&amp;F5&amp;"个复板"))</f>
        <v/>
      </c>
    </row>
    <row r="6">
      <c r="A6" s="4" t="inlineStr">
        <is>
          <t>小檗碱</t>
        </is>
      </c>
      <c r="B6" s="4" t="inlineStr">
        <is>
          <t>16</t>
        </is>
      </c>
      <c r="C6" s="4">
        <f>IF('原始数据'!F2="","",'原始数据'!F2)</f>
        <v/>
      </c>
      <c r="D6" s="4">
        <f>IF('原始数据'!F3="","",'原始数据'!F3)</f>
        <v/>
      </c>
      <c r="E6" s="4">
        <f>IF('原始数据'!F4="","",'原始数据'!F4)</f>
        <v/>
      </c>
      <c r="F6" s="4">
        <f>COUNT(C6:E6)</f>
        <v/>
      </c>
      <c r="G6" s="5">
        <f>IF(F6&gt;0,AVERAGE(C6:E6),"")</f>
        <v/>
      </c>
      <c r="H6" s="5">
        <f>IF(F6&gt;1,STDEV.S(C6:E6),"")</f>
        <v/>
      </c>
      <c r="I6" s="6">
        <f>IF(F6&gt;0,G6*1000000,"")</f>
        <v/>
      </c>
      <c r="J6" s="4">
        <f>IF(F6=3,"3个复板",IF(F6=0,"无复板记录","仅"&amp;F6&amp;"个复板"))</f>
        <v/>
      </c>
    </row>
    <row r="7">
      <c r="A7" s="4" t="inlineStr">
        <is>
          <t>DMSO</t>
        </is>
      </c>
      <c r="B7" s="4" t="inlineStr">
        <is>
          <t>16</t>
        </is>
      </c>
      <c r="C7" s="4">
        <f>IF('原始数据'!G2="","",'原始数据'!G2)</f>
        <v/>
      </c>
      <c r="D7" s="4">
        <f>IF('原始数据'!G3="","",'原始数据'!G3)</f>
        <v/>
      </c>
      <c r="E7" s="4">
        <f>IF('原始数据'!G4="","",'原始数据'!G4)</f>
        <v/>
      </c>
      <c r="F7" s="4">
        <f>COUNT(C7:E7)</f>
        <v/>
      </c>
      <c r="G7" s="5">
        <f>IF(F7&gt;0,AVERAGE(C7:E7),"")</f>
        <v/>
      </c>
      <c r="H7" s="5">
        <f>IF(F7&gt;1,STDEV.S(C7:E7),"")</f>
        <v/>
      </c>
      <c r="I7" s="6">
        <f>IF(F7&gt;0,G7*1000000,"")</f>
        <v/>
      </c>
      <c r="J7" s="4">
        <f>IF(F7=3,"3个复板",IF(F7=0,"无复板记录","仅"&amp;F7&amp;"个复板"))</f>
        <v/>
      </c>
    </row>
    <row r="8">
      <c r="A8" s="4" t="inlineStr">
        <is>
          <t>汉黄芩素</t>
        </is>
      </c>
      <c r="B8" s="4" t="inlineStr">
        <is>
          <t>64</t>
        </is>
      </c>
      <c r="C8" s="4">
        <f>IF('原始数据'!H2="","",'原始数据'!H2)</f>
        <v/>
      </c>
      <c r="D8" s="4">
        <f>IF('原始数据'!H3="","",'原始数据'!H3)</f>
        <v/>
      </c>
      <c r="E8" s="4">
        <f>IF('原始数据'!H4="","",'原始数据'!H4)</f>
        <v/>
      </c>
      <c r="F8" s="4">
        <f>COUNT(C8:E8)</f>
        <v/>
      </c>
      <c r="G8" s="5">
        <f>IF(F8&gt;0,AVERAGE(C8:E8),"")</f>
        <v/>
      </c>
      <c r="H8" s="5">
        <f>IF(F8&gt;1,STDEV.S(C8:E8),"")</f>
        <v/>
      </c>
      <c r="I8" s="6">
        <f>IF(F8&gt;0,G8*1000000,"")</f>
        <v/>
      </c>
      <c r="J8" s="4">
        <f>IF(F8=3,"3个复板",IF(F8=0,"无复板记录","仅"&amp;F8&amp;"个复板"))</f>
        <v/>
      </c>
    </row>
    <row r="9">
      <c r="A9" s="4" t="inlineStr">
        <is>
          <t>汉黄芩素</t>
        </is>
      </c>
      <c r="B9" s="4" t="inlineStr">
        <is>
          <t>32</t>
        </is>
      </c>
      <c r="C9" s="4">
        <f>IF('原始数据'!I2="","",'原始数据'!I2)</f>
        <v/>
      </c>
      <c r="D9" s="4">
        <f>IF('原始数据'!I3="","",'原始数据'!I3)</f>
        <v/>
      </c>
      <c r="E9" s="4">
        <f>IF('原始数据'!I4="","",'原始数据'!I4)</f>
        <v/>
      </c>
      <c r="F9" s="4">
        <f>COUNT(C9:E9)</f>
        <v/>
      </c>
      <c r="G9" s="5">
        <f>IF(F9&gt;0,AVERAGE(C9:E9),"")</f>
        <v/>
      </c>
      <c r="H9" s="5">
        <f>IF(F9&gt;1,STDEV.S(C9:E9),"")</f>
        <v/>
      </c>
      <c r="I9" s="6">
        <f>IF(F9&gt;0,G9*1000000,"")</f>
        <v/>
      </c>
      <c r="J9" s="4">
        <f>IF(F9=3,"3个复板",IF(F9=0,"无复板记录","仅"&amp;F9&amp;"个复板"))</f>
        <v/>
      </c>
    </row>
    <row r="10">
      <c r="A10" s="4" t="inlineStr">
        <is>
          <t>汉黄芩素</t>
        </is>
      </c>
      <c r="B10" s="4" t="inlineStr">
        <is>
          <t>16</t>
        </is>
      </c>
      <c r="C10" s="4">
        <f>IF('原始数据'!J2="","",'原始数据'!J2)</f>
        <v/>
      </c>
      <c r="D10" s="4">
        <f>IF('原始数据'!J3="","",'原始数据'!J3)</f>
        <v/>
      </c>
      <c r="E10" s="4">
        <f>IF('原始数据'!J4="","",'原始数据'!J4)</f>
        <v/>
      </c>
      <c r="F10" s="4">
        <f>COUNT(C10:E10)</f>
        <v/>
      </c>
      <c r="G10" s="5">
        <f>IF(F10&gt;0,AVERAGE(C10:E10),"")</f>
        <v/>
      </c>
      <c r="H10" s="5">
        <f>IF(F10&gt;1,STDEV.S(C10:E10),"")</f>
        <v/>
      </c>
      <c r="I10" s="6">
        <f>IF(F10&gt;0,G10*1000000,"")</f>
        <v/>
      </c>
      <c r="J10" s="4">
        <f>IF(F10=3,"3个复板",IF(F10=0,"无复板记录","仅"&amp;F10&amp;"个复板"))</f>
        <v/>
      </c>
    </row>
    <row r="11">
      <c r="A11" s="4" t="inlineStr">
        <is>
          <t>黄芩素</t>
        </is>
      </c>
      <c r="B11" s="4" t="inlineStr">
        <is>
          <t>64</t>
        </is>
      </c>
      <c r="C11" s="4">
        <f>IF('原始数据'!K2="","",'原始数据'!K2)</f>
        <v/>
      </c>
      <c r="D11" s="4">
        <f>IF('原始数据'!K3="","",'原始数据'!K3)</f>
        <v/>
      </c>
      <c r="E11" s="4">
        <f>IF('原始数据'!K4="","",'原始数据'!K4)</f>
        <v/>
      </c>
      <c r="F11" s="4">
        <f>COUNT(C11:E11)</f>
        <v/>
      </c>
      <c r="G11" s="5">
        <f>IF(F11&gt;0,AVERAGE(C11:E11),"")</f>
        <v/>
      </c>
      <c r="H11" s="5">
        <f>IF(F11&gt;1,STDEV.S(C11:E11),"")</f>
        <v/>
      </c>
      <c r="I11" s="6">
        <f>IF(F11&gt;0,G11*1000000,"")</f>
        <v/>
      </c>
      <c r="J11" s="4">
        <f>IF(F11=3,"3个复板",IF(F11=0,"无复板记录","仅"&amp;F11&amp;"个复板"))</f>
        <v/>
      </c>
    </row>
    <row r="12">
      <c r="A12" s="4" t="inlineStr">
        <is>
          <t>黄芩素</t>
        </is>
      </c>
      <c r="B12" s="4" t="inlineStr">
        <is>
          <t>32</t>
        </is>
      </c>
      <c r="C12" s="4">
        <f>IF('原始数据'!L2="","",'原始数据'!L2)</f>
        <v/>
      </c>
      <c r="D12" s="4">
        <f>IF('原始数据'!L3="","",'原始数据'!L3)</f>
        <v/>
      </c>
      <c r="E12" s="4">
        <f>IF('原始数据'!L4="","",'原始数据'!L4)</f>
        <v/>
      </c>
      <c r="F12" s="4">
        <f>COUNT(C12:E12)</f>
        <v/>
      </c>
      <c r="G12" s="5">
        <f>IF(F12&gt;0,AVERAGE(C12:E12),"")</f>
        <v/>
      </c>
      <c r="H12" s="5">
        <f>IF(F12&gt;1,STDEV.S(C12:E12),"")</f>
        <v/>
      </c>
      <c r="I12" s="6">
        <f>IF(F12&gt;0,G12*1000000,"")</f>
        <v/>
      </c>
      <c r="J12" s="4">
        <f>IF(F12=3,"3个复板",IF(F12=0,"无复板记录","仅"&amp;F12&amp;"个复板"))</f>
        <v/>
      </c>
    </row>
    <row r="13">
      <c r="A13" s="4" t="inlineStr">
        <is>
          <t>黄芩素</t>
        </is>
      </c>
      <c r="B13" s="4" t="inlineStr">
        <is>
          <t>16</t>
        </is>
      </c>
      <c r="C13" s="4">
        <f>IF('原始数据'!M2="","",'原始数据'!M2)</f>
        <v/>
      </c>
      <c r="D13" s="4">
        <f>IF('原始数据'!M3="","",'原始数据'!M3)</f>
        <v/>
      </c>
      <c r="E13" s="4">
        <f>IF('原始数据'!M4="","",'原始数据'!M4)</f>
        <v/>
      </c>
      <c r="F13" s="4">
        <f>COUNT(C13:E13)</f>
        <v/>
      </c>
      <c r="G13" s="5">
        <f>IF(F13&gt;0,AVERAGE(C13:E13),"")</f>
        <v/>
      </c>
      <c r="H13" s="5">
        <f>IF(F13&gt;1,STDEV.S(C13:E13),"")</f>
        <v/>
      </c>
      <c r="I13" s="6">
        <f>IF(F13&gt;0,G13*1000000,"")</f>
        <v/>
      </c>
      <c r="J13" s="4">
        <f>IF(F13=3,"3个复板",IF(F13=0,"无复板记录","仅"&amp;F13&amp;"个复板"))</f>
        <v/>
      </c>
    </row>
    <row r="14">
      <c r="A14" s="4" t="inlineStr">
        <is>
          <t>大黄素</t>
        </is>
      </c>
      <c r="B14" s="4" t="inlineStr">
        <is>
          <t>16</t>
        </is>
      </c>
      <c r="C14" s="4">
        <f>IF('原始数据'!N2="","",'原始数据'!N2)</f>
        <v/>
      </c>
      <c r="D14" s="4">
        <f>IF('原始数据'!N3="","",'原始数据'!N3)</f>
        <v/>
      </c>
      <c r="E14" s="4">
        <f>IF('原始数据'!N4="","",'原始数据'!N4)</f>
        <v/>
      </c>
      <c r="F14" s="4">
        <f>COUNT(C14:E14)</f>
        <v/>
      </c>
      <c r="G14" s="5">
        <f>IF(F14&gt;0,AVERAGE(C14:E14),"")</f>
        <v/>
      </c>
      <c r="H14" s="5">
        <f>IF(F14&gt;1,STDEV.S(C14:E14),"")</f>
        <v/>
      </c>
      <c r="I14" s="6">
        <f>IF(F14&gt;0,G14*1000000,"")</f>
        <v/>
      </c>
      <c r="J14" s="4">
        <f>IF(F14=3,"3个复板",IF(F14=0,"无复板记录","仅"&amp;F14&amp;"个复板"))</f>
        <v/>
      </c>
    </row>
    <row r="15">
      <c r="A15" s="4" t="inlineStr">
        <is>
          <t>大黄素</t>
        </is>
      </c>
      <c r="B15" s="4" t="inlineStr">
        <is>
          <t>8</t>
        </is>
      </c>
      <c r="C15" s="4">
        <f>IF('原始数据'!O2="","",'原始数据'!O2)</f>
        <v/>
      </c>
      <c r="D15" s="4">
        <f>IF('原始数据'!O3="","",'原始数据'!O3)</f>
        <v/>
      </c>
      <c r="E15" s="4">
        <f>IF('原始数据'!O4="","",'原始数据'!O4)</f>
        <v/>
      </c>
      <c r="F15" s="4">
        <f>COUNT(C15:E15)</f>
        <v/>
      </c>
      <c r="G15" s="5">
        <f>IF(F15&gt;0,AVERAGE(C15:E15),"")</f>
        <v/>
      </c>
      <c r="H15" s="5">
        <f>IF(F15&gt;1,STDEV.S(C15:E15),"")</f>
        <v/>
      </c>
      <c r="I15" s="6">
        <f>IF(F15&gt;0,G15*1000000,"")</f>
        <v/>
      </c>
      <c r="J15" s="4">
        <f>IF(F15=3,"3个复板",IF(F15=0,"无复板记录","仅"&amp;F15&amp;"个复板"))</f>
        <v/>
      </c>
    </row>
    <row r="16">
      <c r="A16" s="4" t="inlineStr">
        <is>
          <t>大黄素</t>
        </is>
      </c>
      <c r="B16" s="4" t="inlineStr">
        <is>
          <t>4</t>
        </is>
      </c>
      <c r="C16" s="4">
        <f>IF('原始数据'!P2="","",'原始数据'!P2)</f>
        <v/>
      </c>
      <c r="D16" s="4">
        <f>IF('原始数据'!P3="","",'原始数据'!P3)</f>
        <v/>
      </c>
      <c r="E16" s="4">
        <f>IF('原始数据'!P4="","",'原始数据'!P4)</f>
        <v/>
      </c>
      <c r="F16" s="4">
        <f>COUNT(C16:E16)</f>
        <v/>
      </c>
      <c r="G16" s="5">
        <f>IF(F16&gt;0,AVERAGE(C16:E16),"")</f>
        <v/>
      </c>
      <c r="H16" s="5">
        <f>IF(F16&gt;1,STDEV.S(C16:E16),"")</f>
        <v/>
      </c>
      <c r="I16" s="6">
        <f>IF(F16&gt;0,G16*1000000,"")</f>
        <v/>
      </c>
      <c r="J16" s="4">
        <f>IF(F16=3,"3个复板",IF(F16=0,"无复板记录","仅"&amp;F16&amp;"个复板"))</f>
        <v/>
      </c>
    </row>
    <row r="17">
      <c r="A17" s="4" t="inlineStr">
        <is>
          <t>对照</t>
        </is>
      </c>
      <c r="B17" s="4" t="inlineStr">
        <is>
          <t>新</t>
        </is>
      </c>
      <c r="C17" s="4">
        <f>IF('原始数据'!Q2="","",'原始数据'!Q2)</f>
        <v/>
      </c>
      <c r="D17" s="4">
        <f>IF('原始数据'!Q3="","",'原始数据'!Q3)</f>
        <v/>
      </c>
      <c r="E17" s="4">
        <f>IF('原始数据'!Q4="","",'原始数据'!Q4)</f>
        <v/>
      </c>
      <c r="F17" s="4">
        <f>COUNT(C17:E17)</f>
        <v/>
      </c>
      <c r="G17" s="5">
        <f>IF(F17&gt;0,AVERAGE(C17:E17),"")</f>
        <v/>
      </c>
      <c r="H17" s="5">
        <f>IF(F17&gt;1,STDEV.S(C17:E17),"")</f>
        <v/>
      </c>
      <c r="I17" s="6">
        <f>IF(F17&gt;0,G17*1000000,"")</f>
        <v/>
      </c>
      <c r="J17" s="4">
        <f>IF(F17=3,"3个复板",IF(F17=0,"无复板记录","仅"&amp;F17&amp;"个复板"))</f>
        <v/>
      </c>
    </row>
    <row r="19">
      <c r="A19" t="inlineStr">
        <is>
          <t>说明</t>
        </is>
      </c>
      <c r="B19" t="inlineStr">
        <is>
          <t>均值与 SD 均按非空复板计算；仅 1 个复板时不计算 SD。CFU/mL 使用原表 ×10^6 规则。</t>
        </is>
      </c>
    </row>
  </sheetData>
  <autoFilter ref="A1:J17"/>
  <mergeCells count="1">
    <mergeCell ref="B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8" customWidth="1" min="9" max="9"/>
    <col width="24" customWidth="1" min="10" max="10"/>
  </cols>
  <sheetData>
    <row r="1" ht="38" customHeight="1">
      <c r="A1" s="1" t="inlineStr">
        <is>
          <t>组别</t>
        </is>
      </c>
      <c r="B1" s="1" t="inlineStr">
        <is>
          <t>浓度（μg/mL）</t>
        </is>
      </c>
      <c r="C1" s="1" t="inlineStr">
        <is>
          <t>复板1</t>
        </is>
      </c>
      <c r="D1" s="1" t="inlineStr">
        <is>
          <t>复板2</t>
        </is>
      </c>
      <c r="E1" s="1" t="inlineStr">
        <is>
          <t>复板3</t>
        </is>
      </c>
      <c r="F1" s="1" t="inlineStr">
        <is>
          <t>n</t>
        </is>
      </c>
      <c r="G1" s="1" t="inlineStr">
        <is>
          <t>菌落均值</t>
        </is>
      </c>
      <c r="H1" s="1" t="inlineStr">
        <is>
          <t>SD</t>
        </is>
      </c>
      <c r="I1" s="1" t="inlineStr">
        <is>
          <t>CFU/mL均值</t>
        </is>
      </c>
      <c r="J1" s="1" t="inlineStr">
        <is>
          <t>相对新对照存活率(%)</t>
        </is>
      </c>
    </row>
    <row r="2">
      <c r="A2" s="4" t="inlineStr">
        <is>
          <t>对照（新）</t>
        </is>
      </c>
      <c r="B2" s="4" t="inlineStr">
        <is>
          <t>新</t>
        </is>
      </c>
      <c r="C2" s="4">
        <f>IF('原始数据'!Q2="","",'原始数据'!Q2)</f>
        <v/>
      </c>
      <c r="D2" s="4">
        <f>IF('原始数据'!Q3="","",'原始数据'!Q3)</f>
        <v/>
      </c>
      <c r="E2" s="4">
        <f>IF('原始数据'!Q4="","",'原始数据'!Q4)</f>
        <v/>
      </c>
      <c r="F2" s="4">
        <f>COUNT(C2:E2)</f>
        <v/>
      </c>
      <c r="G2" s="5">
        <f>AVERAGE(C2:E2)</f>
        <v/>
      </c>
      <c r="H2" s="5">
        <f>STDEV.S(C2:E2)</f>
        <v/>
      </c>
      <c r="I2" s="6">
        <f>G2*1000000</f>
        <v/>
      </c>
      <c r="J2" s="5">
        <f>G2/$G$2*100</f>
        <v/>
      </c>
    </row>
    <row r="3">
      <c r="A3" s="4" t="inlineStr">
        <is>
          <t>黄芩素（16）</t>
        </is>
      </c>
      <c r="B3" s="4" t="inlineStr">
        <is>
          <t>16</t>
        </is>
      </c>
      <c r="C3" s="4">
        <f>IF('原始数据'!M2="","",'原始数据'!M2)</f>
        <v/>
      </c>
      <c r="D3" s="4">
        <f>IF('原始数据'!M3="","",'原始数据'!M3)</f>
        <v/>
      </c>
      <c r="E3" s="4">
        <f>IF('原始数据'!M4="","",'原始数据'!M4)</f>
        <v/>
      </c>
      <c r="F3" s="4">
        <f>COUNT(C3:E3)</f>
        <v/>
      </c>
      <c r="G3" s="5">
        <f>AVERAGE(C3:E3)</f>
        <v/>
      </c>
      <c r="H3" s="5">
        <f>STDEV.S(C3:E3)</f>
        <v/>
      </c>
      <c r="I3" s="6">
        <f>G3*1000000</f>
        <v/>
      </c>
      <c r="J3" s="5">
        <f>G3/$G$2*100</f>
        <v/>
      </c>
    </row>
    <row r="4">
      <c r="A4" s="4" t="inlineStr">
        <is>
          <t>黄芩素（32）</t>
        </is>
      </c>
      <c r="B4" s="4" t="inlineStr">
        <is>
          <t>32</t>
        </is>
      </c>
      <c r="C4" s="4">
        <f>IF('原始数据'!L2="","",'原始数据'!L2)</f>
        <v/>
      </c>
      <c r="D4" s="4">
        <f>IF('原始数据'!L3="","",'原始数据'!L3)</f>
        <v/>
      </c>
      <c r="E4" s="4">
        <f>IF('原始数据'!L4="","",'原始数据'!L4)</f>
        <v/>
      </c>
      <c r="F4" s="4">
        <f>COUNT(C4:E4)</f>
        <v/>
      </c>
      <c r="G4" s="5">
        <f>AVERAGE(C4:E4)</f>
        <v/>
      </c>
      <c r="H4" s="5">
        <f>STDEV.S(C4:E4)</f>
        <v/>
      </c>
      <c r="I4" s="6">
        <f>G4*1000000</f>
        <v/>
      </c>
      <c r="J4" s="5">
        <f>G4/$G$2*100</f>
        <v/>
      </c>
    </row>
    <row r="5">
      <c r="A5" s="4" t="inlineStr">
        <is>
          <t>黄芩素（64）</t>
        </is>
      </c>
      <c r="B5" s="4" t="inlineStr">
        <is>
          <t>64</t>
        </is>
      </c>
      <c r="C5" s="4">
        <f>IF('原始数据'!K2="","",'原始数据'!K2)</f>
        <v/>
      </c>
      <c r="D5" s="4">
        <f>IF('原始数据'!K3="","",'原始数据'!K3)</f>
        <v/>
      </c>
      <c r="E5" s="4">
        <f>IF('原始数据'!K4="","",'原始数据'!K4)</f>
        <v/>
      </c>
      <c r="F5" s="4">
        <f>COUNT(C5:E5)</f>
        <v/>
      </c>
      <c r="G5" s="5">
        <f>AVERAGE(C5:E5)</f>
        <v/>
      </c>
      <c r="H5" s="5">
        <f>STDEV.S(C5:E5)</f>
        <v/>
      </c>
      <c r="I5" s="6">
        <f>G5*1000000</f>
        <v/>
      </c>
      <c r="J5" s="5">
        <f>G5/$G$2*100</f>
        <v/>
      </c>
    </row>
    <row r="7">
      <c r="A7" t="inlineStr">
        <is>
          <t>核对结论</t>
        </is>
      </c>
      <c r="B7" t="inlineStr">
        <is>
          <t>黄芩素 16/32/64 μg/mL 三档均有 3 个非空复板；64 μg/mL 三复板均为 0。该独立批次已补入正文图 6E，不与原单浓度面板合并统计。</t>
        </is>
      </c>
    </row>
    <row r="8">
      <c r="A8" t="inlineStr">
        <is>
          <t>统计口径</t>
        </is>
      </c>
      <c r="B8" t="inlineStr">
        <is>
          <t>图中展示 mean±SD 和 3 个复板散点；复板属性仍按实验记录核查，不新增显著性检验。</t>
        </is>
      </c>
    </row>
  </sheetData>
  <autoFilter ref="A1:J5"/>
  <mergeCells count="2">
    <mergeCell ref="B7:J7"/>
    <mergeCell ref="B8:J8"/>
  </mergeCells>
  <conditionalFormatting sqref="I2:I5">
    <cfRule type="dataBar" priority="1">
      <dataBar showValue="1">
        <cfvo type="num" val="0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5" customHeight="1">
      <c r="A1" s="2" t="inlineStr">
        <is>
          <t>项目</t>
        </is>
      </c>
      <c r="B1" s="3" t="inlineStr">
        <is>
          <t>SHXD–PJI 抗菌数据核对与统计 v87</t>
        </is>
      </c>
    </row>
    <row r="2" ht="35" customHeight="1">
      <c r="A2" s="2" t="inlineStr">
        <is>
          <t>原始文件</t>
        </is>
      </c>
      <c r="B2" s="3" t="inlineStr">
        <is>
          <t>体外抗菌.xlsx（2026-10-29 附件复制件）</t>
        </is>
      </c>
    </row>
    <row r="3" ht="35" customHeight="1">
      <c r="A3" s="2" t="inlineStr">
        <is>
          <t>原始工作表</t>
        </is>
      </c>
      <c r="B3" s="3" t="inlineStr">
        <is>
          <t>Sheet1；Sheet2、Sheet3 为空</t>
        </is>
      </c>
    </row>
    <row r="4" ht="35" customHeight="1">
      <c r="A4" s="2" t="inlineStr">
        <is>
          <t>数据来源</t>
        </is>
      </c>
      <c r="B4" s="3" t="inlineStr">
        <is>
          <t>用户提供的实验记录；未使用图片估算菌落数。</t>
        </is>
      </c>
    </row>
    <row r="5" ht="35" customHeight="1">
      <c r="A5" s="2" t="inlineStr">
        <is>
          <t>换算规则</t>
        </is>
      </c>
      <c r="B5" s="3" t="inlineStr">
        <is>
          <t>原表注明：菌落数 × 10^6 = CFU/mL（稀释 5 次、取 0.1 mL）。</t>
        </is>
      </c>
    </row>
    <row r="6" ht="35" customHeight="1">
      <c r="A6" s="2" t="inlineStr">
        <is>
          <t>可用记录</t>
        </is>
      </c>
      <c r="B6" s="3" t="inlineStr">
        <is>
          <t>黄芩素 16/32/64 μg/mL 三档与新对照均有 3 个非空复板，已复算均值、SD、CFU/mL 和相对新对照存活率。</t>
        </is>
      </c>
    </row>
    <row r="7" ht="35" customHeight="1">
      <c r="A7" s="2" t="inlineStr">
        <is>
          <t>未确认字段</t>
        </is>
      </c>
      <c r="B7" s="3" t="inlineStr">
        <is>
          <t>浓度单位已确认为 μg/mL；复板是否独立生物学重复、实验日期、批次和缺失复板原因仍需实验记录确认。</t>
        </is>
      </c>
    </row>
    <row r="8" ht="35" customHeight="1">
      <c r="A8" s="2" t="inlineStr">
        <is>
          <t>排除规则</t>
        </is>
      </c>
      <c r="B8" s="3" t="inlineStr">
        <is>
          <t>旧对照由原表标注“有问题”；不用于新对照归一化。空白复板不按 0 处理；单复板组不计算 SD。</t>
        </is>
      </c>
    </row>
    <row r="9" ht="35" customHeight="1">
      <c r="A9" s="2" t="inlineStr">
        <is>
          <t>正文处理</t>
        </is>
      </c>
      <c r="B9" s="3" t="inlineStr">
        <is>
          <t>v87 正文图 6E 已加入独立的黄芩素浓度梯度面板；原 A—D 单浓度面板与 E 不混合计算。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2026-10-29T05:11:30Z</dcterms:created>
  <dcterms:modified xmlns:dcterms="http://purl.org/dc/terms/" xmlns:xsi="http://www.w3.org/2001/XMLSchema-instance" xsi:type="dcterms:W3CDTF">2026-10-29T06:45:38Z</dcterms:modified>
</cp:coreProperties>
</file>