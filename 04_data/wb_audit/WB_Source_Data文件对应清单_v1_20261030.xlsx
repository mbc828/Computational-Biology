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文件对应清单" sheetId="2" state="visible" r:id="rId2"/>
    <sheet xmlns:r="http://schemas.openxmlformats.org/officeDocument/2006/relationships" name="灰度单元格映射" sheetId="3" state="visible" r:id="rId3"/>
    <sheet xmlns:r="http://schemas.openxmlformats.org/officeDocument/2006/relationships" name="PPT与RAR证据" sheetId="4" state="visible" r:id="rId4"/>
    <sheet xmlns:r="http://schemas.openxmlformats.org/officeDocument/2006/relationships" name="来源与口径" sheetId="5" state="visible" r:id="rId5"/>
  </sheets>
  <definedNames>
    <definedName name="_xlnm._FilterDatabase" localSheetId="1" hidden="1">'文件对应清单'!$B$3:$X$30</definedName>
    <definedName name="_xlnm._FilterDatabase" localSheetId="2" hidden="1">'灰度单元格映射'!$B$3:$I$66</definedName>
    <definedName name="_xlnm._FilterDatabase" localSheetId="3" hidden="1">'PPT与RAR证据'!$B$3:$K$11</definedName>
    <definedName name="_xlnm._FilterDatabase" localSheetId="4" hidden="1">'来源与口径'!$B$3:$D$14</definedName>
  </definedNames>
  <calcPr calcMode="auto" fullCalcOnLoad="1" forceFullCalc="1" calcId="124519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44F70"/>
      <sz val="16"/>
    </font>
    <font>
      <name val="Arial"/>
      <i val="1"/>
      <color rgb="0052616D"/>
      <sz val="10"/>
    </font>
    <font>
      <name val="Arial"/>
      <b val="1"/>
      <color rgb="00244F70"/>
    </font>
    <font>
      <name val="Arial"/>
      <b val="1"/>
      <color rgb="0017232D"/>
      <sz val="12"/>
    </font>
    <font>
      <name val="Arial"/>
      <b val="1"/>
      <color rgb="0017232D"/>
    </font>
    <font>
      <name val="Arial"/>
      <b val="1"/>
      <color rgb="00FFFFFF"/>
      <sz val="10"/>
    </font>
    <font>
      <name val="Arial"/>
      <color rgb="0017232D"/>
      <sz val="10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3">
    <border>
      <left/>
      <right/>
      <top/>
      <bottom/>
      <diagonal/>
    </border>
    <border>
      <bottom style="medium">
        <color rgb="00244F70"/>
      </bottom>
    </border>
    <border>
      <bottom style="hair">
        <color rgb="00D9DE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1" fontId="7" fillId="0" borderId="2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E7F2EA"/>
        </patternFill>
      </fill>
    </dxf>
    <dxf>
      <fill>
        <patternFill patternType="solid">
          <f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22"/>
  <sheetViews>
    <sheetView showGridLines="0" zoomScale="9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B1" s="1" t="inlineStr">
        <is>
          <t>WB Source Data 文件对应清单</t>
        </is>
      </c>
    </row>
    <row r="2" ht="28" customHeight="1">
      <c r="B2" s="2" t="inlineStr">
        <is>
          <t>版本 v1｜2026-10-30｜覆盖 27 个 TIFF、63 个原始灰度单元格及 044 来源包证据</t>
        </is>
      </c>
    </row>
    <row r="4" ht="26" customHeight="1">
      <c r="B4" s="3" t="inlineStr">
        <is>
          <t>TIFF 文件总数</t>
        </is>
      </c>
      <c r="C4" s="4">
        <f>COUNTA('文件对应清单'!B4:B30)</f>
        <v/>
      </c>
      <c r="D4" s="5" t="inlineStr">
        <is>
          <t>27 个文件均保留</t>
        </is>
      </c>
    </row>
    <row r="5" ht="26" customHeight="1">
      <c r="B5" s="3" t="inlineStr">
        <is>
          <t>主用原膜</t>
        </is>
      </c>
      <c r="C5" s="4">
        <f>COUNTIF('文件对应清单'!G4:G30,"主用原膜")</f>
        <v/>
      </c>
      <c r="D5" s="5" t="inlineStr">
        <is>
          <t>7 个靶标 × 3 次重复</t>
        </is>
      </c>
    </row>
    <row r="6" ht="26" customHeight="1">
      <c r="B6" s="3" t="inlineStr">
        <is>
          <t>p65／p-p65 主用文件</t>
        </is>
      </c>
      <c r="C6" s="4">
        <f>COUNTIFS('文件对应清单'!G4:G30,"主用原膜",'文件对应清单'!D4:D30,"p65")+COUNTIFS('文件对应清单'!G4:G30,"主用原膜",'文件对应清单'!D4:D30,"p-p65")</f>
        <v/>
      </c>
      <c r="D6" s="5" t="inlineStr">
        <is>
          <t>三批带编号 TIFF 均由 044 来源包确认</t>
        </is>
      </c>
    </row>
    <row r="7" ht="26" customHeight="1">
      <c r="B7" s="3" t="inlineStr">
        <is>
          <t>备选版本</t>
        </is>
      </c>
      <c r="C7" s="4">
        <f>COUNTIF('文件对应清单'!G4:G30,"备选版本")</f>
        <v/>
      </c>
      <c r="D7" s="5" t="inlineStr">
        <is>
          <t>不带编号文件及 rep3 小图，不删除</t>
        </is>
      </c>
    </row>
    <row r="8" ht="26" customHeight="1">
      <c r="B8" s="3" t="inlineStr">
        <is>
          <t>044 包内原膜</t>
        </is>
      </c>
      <c r="C8" s="4">
        <f>COUNTIF('文件对应清单'!X4:X30,"一致")</f>
        <v/>
      </c>
      <c r="D8" s="5" t="inlineStr">
        <is>
          <t>文件大小与 CRC32 逐项一致</t>
        </is>
      </c>
    </row>
    <row r="11" ht="50" customHeight="1">
      <c r="B11" s="3" t="inlineStr">
        <is>
          <t>主用 p65／p-p65 原膜</t>
        </is>
      </c>
      <c r="C11" s="6" t="inlineStr">
        <is>
          <t>rep1／rep2／rep3 分别使用带 (1)／(2)／(3) 编号的 TIFF。10144(1).rar 同时包含 044.pptx 和这 6 个 TIFF；包内条目与本地文件的大小、CRC32 全部一致。</t>
        </is>
      </c>
    </row>
    <row r="12" ht="50" customHeight="1">
      <c r="B12" s="3" t="inlineStr">
        <is>
          <t>rep1 图件来源</t>
        </is>
      </c>
      <c r="C12" s="6" t="inlineStr">
        <is>
          <t>044.pptx 的 p-p65 裁带对应 rep1/P-P65 (1).tif，NCC=0.996505；p65 裁带对应 rep1/P65 (1).tif，NCC=0.998103。</t>
        </is>
      </c>
    </row>
    <row r="13" ht="50" customHeight="1">
      <c r="B13" s="3" t="inlineStr">
        <is>
          <t>备选文件处置</t>
        </is>
      </c>
      <c r="C13" s="6" t="inlineStr">
        <is>
          <t>rep1／rep2 不带编号的 p65、p-p65，以及 rep3 的 p65.tif、pp65.tif 小图均作为备选版本保留，未纳入 044 主用来源包，不与现稿灰度行建立直接来源指认。</t>
        </is>
      </c>
    </row>
    <row r="14" ht="50" customHeight="1">
      <c r="B14" s="3" t="inlineStr">
        <is>
          <t>灰度追溯边界</t>
        </is>
      </c>
      <c r="C14" s="6" t="inlineStr">
        <is>
          <t>63 个灰度值已逐格映射至主用文件。当前资料未包含原始 ImageJ ROI、背景扣除及曝光选择记录，因此本清单确认文件级对应，不声称复现了原始定量 ROI。</t>
        </is>
      </c>
    </row>
    <row r="15" ht="50" customHeight="1">
      <c r="B15" s="3" t="inlineStr">
        <is>
          <t>数据与统计</t>
        </is>
      </c>
      <c r="C15" s="6" t="inlineStr">
        <is>
          <t>本工作簿不重新圈选条带、不改变任何灰度值、比率、P 值或内参；内参继续按 β-actin 归档。</t>
        </is>
      </c>
    </row>
    <row r="18">
      <c r="B18" s="3" t="inlineStr">
        <is>
          <t>工作表导航</t>
        </is>
      </c>
    </row>
    <row r="19" ht="26" customHeight="1">
      <c r="B19" s="7" t="inlineStr">
        <is>
          <t>文件对应清单</t>
        </is>
      </c>
      <c r="C19" t="inlineStr">
        <is>
          <t>27 个 TIFF 的角色、灰度行、PPT／RAR 证据和 SHA-256</t>
        </is>
      </c>
    </row>
    <row r="20" ht="26" customHeight="1">
      <c r="B20" s="7" t="inlineStr">
        <is>
          <t>灰度单元格映射</t>
        </is>
      </c>
      <c r="C20" t="inlineStr">
        <is>
          <t>63 个灰度值逐格对应至主用原膜</t>
        </is>
      </c>
    </row>
    <row r="21" ht="26" customHeight="1">
      <c r="B21" s="7" t="inlineStr">
        <is>
          <t>PPT与RAR证据</t>
        </is>
      </c>
      <c r="C21" t="inlineStr">
        <is>
          <t>6 个 CRC32 校验及 2 个 PPT 图像匹配记录</t>
        </is>
      </c>
    </row>
    <row r="22" ht="26" customHeight="1">
      <c r="B22" s="7" t="inlineStr">
        <is>
          <t>来源与口径</t>
        </is>
      </c>
      <c r="C22" t="inlineStr">
        <is>
          <t>来源文件哈希、状态定义及使用边界</t>
        </is>
      </c>
    </row>
  </sheetData>
  <mergeCells count="16">
    <mergeCell ref="C11:H11"/>
    <mergeCell ref="D7:H7"/>
    <mergeCell ref="D8:H8"/>
    <mergeCell ref="D6:H6"/>
    <mergeCell ref="C19:H19"/>
    <mergeCell ref="B1:H1"/>
    <mergeCell ref="C14:H14"/>
    <mergeCell ref="C13:H13"/>
    <mergeCell ref="C22:H22"/>
    <mergeCell ref="D5:H5"/>
    <mergeCell ref="B2:H2"/>
    <mergeCell ref="C12:H12"/>
    <mergeCell ref="C20:H20"/>
    <mergeCell ref="D4:H4"/>
    <mergeCell ref="C21:H21"/>
    <mergeCell ref="C15:H1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X30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10" customWidth="1" min="3" max="3"/>
    <col width="19" customWidth="1" min="4" max="4"/>
    <col width="23" customWidth="1" min="5" max="5"/>
    <col width="32" customWidth="1" min="6" max="6"/>
    <col width="13" customWidth="1" min="7" max="7"/>
    <col width="19" customWidth="1" min="8" max="8"/>
    <col width="13" customWidth="1" min="9" max="9"/>
    <col width="31" customWidth="1" min="10" max="10"/>
    <col width="24" customWidth="1" min="11" max="11"/>
    <col width="25" customWidth="1" min="12" max="12"/>
    <col width="48" customWidth="1" min="13" max="13"/>
    <col width="30" customWidth="1" min="14" max="14"/>
    <col width="38" customWidth="1" min="15" max="15"/>
    <col width="15" customWidth="1" min="16" max="16"/>
    <col width="14" customWidth="1" min="17" max="17"/>
    <col width="10" customWidth="1" min="18" max="18"/>
    <col width="10" customWidth="1" min="19" max="19"/>
    <col width="16" customWidth="1" min="20" max="20"/>
    <col width="68" customWidth="1" min="21" max="21"/>
    <col width="15" customWidth="1" min="22" max="22"/>
    <col width="15" customWidth="1" min="23" max="23"/>
    <col width="12" customWidth="1" min="24" max="24"/>
  </cols>
  <sheetData>
    <row r="1" ht="30" customHeight="1">
      <c r="B1" s="1" t="inlineStr">
        <is>
          <t>27 个 TIFF 文件对应清单</t>
        </is>
      </c>
    </row>
    <row r="2" ht="28" customHeight="1">
      <c r="B2" s="2" t="inlineStr">
        <is>
          <t>主用原膜用于现稿文件级映射；备选版本完整保留。灰度单元格列的组序均为 Control / HKSA+Baicalein / HKSA。</t>
        </is>
      </c>
    </row>
    <row r="3" ht="32" customHeight="1">
      <c r="B3" s="8" t="inlineStr">
        <is>
          <t>文件ID</t>
        </is>
      </c>
      <c r="C3" s="8" t="inlineStr">
        <is>
          <t>重复</t>
        </is>
      </c>
      <c r="D3" s="8" t="inlineStr">
        <is>
          <t>靶标</t>
        </is>
      </c>
      <c r="E3" s="8" t="inlineStr">
        <is>
          <t>文件名</t>
        </is>
      </c>
      <c r="F3" s="8" t="inlineStr">
        <is>
          <t>相对路径</t>
        </is>
      </c>
      <c r="G3" s="8" t="inlineStr">
        <is>
          <t>文件角色</t>
        </is>
      </c>
      <c r="H3" s="8" t="inlineStr">
        <is>
          <t>同名候选组</t>
        </is>
      </c>
      <c r="I3" s="8" t="inlineStr">
        <is>
          <t>灰度表行</t>
        </is>
      </c>
      <c r="J3" s="8" t="inlineStr">
        <is>
          <t>灰度单元格（Control / HKSA+Baicalein / HKSA）</t>
        </is>
      </c>
      <c r="K3" s="8" t="inlineStr">
        <is>
          <t>灰度映射口径</t>
        </is>
      </c>
      <c r="L3" s="8" t="inlineStr">
        <is>
          <t>图 5 rep1 裁带</t>
        </is>
      </c>
      <c r="M3" s="8" t="inlineStr">
        <is>
          <t>对应证据</t>
        </is>
      </c>
      <c r="N3" s="8" t="inlineStr">
        <is>
          <t>确认状态</t>
        </is>
      </c>
      <c r="O3" s="8" t="inlineStr">
        <is>
          <t>待补／归档说明</t>
        </is>
      </c>
      <c r="P3" s="8" t="inlineStr">
        <is>
          <t>字节数</t>
        </is>
      </c>
      <c r="Q3" s="8" t="inlineStr">
        <is>
          <t>像素尺寸</t>
        </is>
      </c>
      <c r="R3" s="8" t="inlineStr">
        <is>
          <t>模式</t>
        </is>
      </c>
      <c r="S3" s="8" t="inlineStr">
        <is>
          <t>DPI</t>
        </is>
      </c>
      <c r="T3" s="8" t="inlineStr">
        <is>
          <t>Photoshop 标签</t>
        </is>
      </c>
      <c r="U3" s="8" t="inlineStr">
        <is>
          <t>SHA-256</t>
        </is>
      </c>
      <c r="V3" s="8" t="inlineStr">
        <is>
          <t>RAR CRC32</t>
        </is>
      </c>
      <c r="W3" s="8" t="inlineStr">
        <is>
          <t>本地 CRC32</t>
        </is>
      </c>
      <c r="X3" s="8" t="inlineStr">
        <is>
          <t>CRC 结果</t>
        </is>
      </c>
    </row>
    <row r="4" ht="30" customHeight="1">
      <c r="B4" s="9" t="inlineStr">
        <is>
          <t>WB-TIFF-001</t>
        </is>
      </c>
      <c r="C4" s="9" t="inlineStr">
        <is>
          <t>rep1</t>
        </is>
      </c>
      <c r="D4" s="9" t="inlineStr">
        <is>
          <t>β-actin</t>
        </is>
      </c>
      <c r="E4" s="9" t="inlineStr">
        <is>
          <t>actin (1).tif</t>
        </is>
      </c>
      <c r="F4" s="9" t="inlineStr">
        <is>
          <t>rep1/actin (1).tif</t>
        </is>
      </c>
      <c r="G4" s="9" t="inlineStr">
        <is>
          <t>主用原膜</t>
        </is>
      </c>
      <c r="H4" s="9" t="inlineStr"/>
      <c r="I4" s="9" t="inlineStr">
        <is>
          <t>Sheet1!10</t>
        </is>
      </c>
      <c r="J4" s="9" t="inlineStr">
        <is>
          <t>C10 / D10 / E10</t>
        </is>
      </c>
      <c r="K4" s="9" t="inlineStr">
        <is>
          <t>主用文件对应</t>
        </is>
      </c>
      <c r="L4" s="9" t="inlineStr">
        <is>
          <t>022.pptx / image13.png</t>
        </is>
      </c>
      <c r="M4" s="9" t="inlineStr">
        <is>
          <t>该重复／靶标仅有这一份全膜文件</t>
        </is>
      </c>
      <c r="N4" s="9" t="inlineStr">
        <is>
          <t>唯一主文件；ROI记录待补</t>
        </is>
      </c>
      <c r="O4" s="9" t="inlineStr">
        <is>
          <t>原始 ImageJ ROI、背景扣除与曝光选择记录</t>
        </is>
      </c>
      <c r="P4" s="9" t="n">
        <v>13894434</v>
      </c>
      <c r="Q4" s="9" t="inlineStr">
        <is>
          <t>4407×3152</t>
        </is>
      </c>
      <c r="R4" s="9" t="inlineStr">
        <is>
          <t>L</t>
        </is>
      </c>
      <c r="S4" s="9" t="inlineStr">
        <is>
          <t>800.0</t>
        </is>
      </c>
      <c r="T4" s="9" t="inlineStr">
        <is>
          <t>无</t>
        </is>
      </c>
      <c r="U4" s="9" t="inlineStr">
        <is>
          <t>98c5f2532d9d3c0900b269643242f08549f6bd0f8fe62af1fa518486e0f870a0</t>
        </is>
      </c>
      <c r="V4" s="9" t="n"/>
      <c r="W4" s="9" t="n"/>
      <c r="X4" s="9" t="n"/>
    </row>
    <row r="5" ht="30" customHeight="1">
      <c r="B5" s="9" t="inlineStr">
        <is>
          <t>WB-TIFF-002</t>
        </is>
      </c>
      <c r="C5" s="9" t="inlineStr">
        <is>
          <t>rep1</t>
        </is>
      </c>
      <c r="D5" s="9" t="inlineStr">
        <is>
          <t>IκBα</t>
        </is>
      </c>
      <c r="E5" s="9" t="inlineStr">
        <is>
          <t>IkBa (1).tif</t>
        </is>
      </c>
      <c r="F5" s="9" t="inlineStr">
        <is>
          <t>rep1/IkBa (1).tif</t>
        </is>
      </c>
      <c r="G5" s="9" t="inlineStr">
        <is>
          <t>主用原膜</t>
        </is>
      </c>
      <c r="H5" s="9" t="inlineStr"/>
      <c r="I5" s="9" t="inlineStr">
        <is>
          <t>Sheet1!3</t>
        </is>
      </c>
      <c r="J5" s="9" t="inlineStr">
        <is>
          <t>C3 / D3 / E3</t>
        </is>
      </c>
      <c r="K5" s="9" t="inlineStr">
        <is>
          <t>主用文件对应</t>
        </is>
      </c>
      <c r="L5" s="9" t="inlineStr">
        <is>
          <t>022.pptx / image4.png</t>
        </is>
      </c>
      <c r="M5" s="9" t="inlineStr">
        <is>
          <t>该重复／靶标仅有这一份全膜文件</t>
        </is>
      </c>
      <c r="N5" s="9" t="inlineStr">
        <is>
          <t>唯一主文件；ROI记录待补</t>
        </is>
      </c>
      <c r="O5" s="9" t="inlineStr">
        <is>
          <t>原始 ImageJ ROI、背景扣除与曝光选择记录</t>
        </is>
      </c>
      <c r="P5" s="9" t="n">
        <v>13894434</v>
      </c>
      <c r="Q5" s="9" t="inlineStr">
        <is>
          <t>4407×3152</t>
        </is>
      </c>
      <c r="R5" s="9" t="inlineStr">
        <is>
          <t>L</t>
        </is>
      </c>
      <c r="S5" s="9" t="inlineStr">
        <is>
          <t>800.0</t>
        </is>
      </c>
      <c r="T5" s="9" t="inlineStr">
        <is>
          <t>无</t>
        </is>
      </c>
      <c r="U5" s="9" t="inlineStr">
        <is>
          <t>b6cd699afbf91869d1e63be580c4bac8f9e4bd5f21296e646d0a658d89a21fcb</t>
        </is>
      </c>
      <c r="V5" s="9" t="n"/>
      <c r="W5" s="9" t="n"/>
      <c r="X5" s="9" t="n"/>
    </row>
    <row r="6" ht="30" customHeight="1">
      <c r="B6" s="9" t="inlineStr">
        <is>
          <t>WB-TIFF-003</t>
        </is>
      </c>
      <c r="C6" s="9" t="inlineStr">
        <is>
          <t>rep1</t>
        </is>
      </c>
      <c r="D6" s="9" t="inlineStr">
        <is>
          <t>p-IκBα</t>
        </is>
      </c>
      <c r="E6" s="9" t="inlineStr">
        <is>
          <t>P-IkBa (1).tif</t>
        </is>
      </c>
      <c r="F6" s="9" t="inlineStr">
        <is>
          <t>rep1/P-IkBa (1).tif</t>
        </is>
      </c>
      <c r="G6" s="9" t="inlineStr">
        <is>
          <t>主用原膜</t>
        </is>
      </c>
      <c r="H6" s="9" t="inlineStr"/>
      <c r="I6" s="9" t="inlineStr">
        <is>
          <t>Sheet1!2</t>
        </is>
      </c>
      <c r="J6" s="9" t="inlineStr">
        <is>
          <t>C2 / D2 / E2</t>
        </is>
      </c>
      <c r="K6" s="9" t="inlineStr">
        <is>
          <t>主用文件对应</t>
        </is>
      </c>
      <c r="L6" s="9" t="inlineStr">
        <is>
          <t>022.pptx / image1.png</t>
        </is>
      </c>
      <c r="M6" s="9" t="inlineStr">
        <is>
          <t>该重复／靶标仅有这一份全膜文件</t>
        </is>
      </c>
      <c r="N6" s="9" t="inlineStr">
        <is>
          <t>唯一主文件；ROI记录待补</t>
        </is>
      </c>
      <c r="O6" s="9" t="inlineStr">
        <is>
          <t>原始 ImageJ ROI、背景扣除与曝光选择记录</t>
        </is>
      </c>
      <c r="P6" s="9" t="n">
        <v>13894434</v>
      </c>
      <c r="Q6" s="9" t="inlineStr">
        <is>
          <t>4407×3152</t>
        </is>
      </c>
      <c r="R6" s="9" t="inlineStr">
        <is>
          <t>L</t>
        </is>
      </c>
      <c r="S6" s="9" t="inlineStr">
        <is>
          <t>800.0</t>
        </is>
      </c>
      <c r="T6" s="9" t="inlineStr">
        <is>
          <t>无</t>
        </is>
      </c>
      <c r="U6" s="9" t="inlineStr">
        <is>
          <t>1530ffbfc85c8b3d10d2d8dff11e618e08bc84e36042b2ede99aa13aedfe696b</t>
        </is>
      </c>
      <c r="V6" s="9" t="n"/>
      <c r="W6" s="9" t="n"/>
      <c r="X6" s="9" t="n"/>
    </row>
    <row r="7" ht="30" customHeight="1">
      <c r="B7" s="9" t="inlineStr">
        <is>
          <t>WB-TIFF-004</t>
        </is>
      </c>
      <c r="C7" s="9" t="inlineStr">
        <is>
          <t>rep1</t>
        </is>
      </c>
      <c r="D7" s="9" t="inlineStr">
        <is>
          <t>p-p65</t>
        </is>
      </c>
      <c r="E7" s="9" t="inlineStr">
        <is>
          <t>P-P65 (1).tif</t>
        </is>
      </c>
      <c r="F7" s="9" t="inlineStr">
        <is>
          <t>rep1/P-P65 (1).tif</t>
        </is>
      </c>
      <c r="G7" s="9" t="inlineStr">
        <is>
          <t>主用原膜</t>
        </is>
      </c>
      <c r="H7" s="9" t="inlineStr">
        <is>
          <t>rep1_p-p65</t>
        </is>
      </c>
      <c r="I7" s="9" t="inlineStr">
        <is>
          <t>Sheet1!5</t>
        </is>
      </c>
      <c r="J7" s="9" t="inlineStr">
        <is>
          <t>C5 / D5 / E5</t>
        </is>
      </c>
      <c r="K7" s="9" t="inlineStr">
        <is>
          <t>主用文件对应</t>
        </is>
      </c>
      <c r="L7" s="9" t="inlineStr">
        <is>
          <t>044.pptx / image1.png</t>
        </is>
      </c>
      <c r="M7" s="9" t="inlineStr">
        <is>
          <t>10144(1).rar 与 044.pptx 同源打包；大小及 CRC32 一致；PPT 裁带 NCC=0.996505</t>
        </is>
      </c>
      <c r="N7" s="9" t="inlineStr">
        <is>
          <t>主用文件确认；ROI记录待补</t>
        </is>
      </c>
      <c r="O7" s="9" t="inlineStr">
        <is>
          <t>原始 ImageJ ROI、背景扣除与曝光选择记录</t>
        </is>
      </c>
      <c r="P7" s="9" t="n">
        <v>16981294</v>
      </c>
      <c r="Q7" s="9" t="inlineStr">
        <is>
          <t>4407×3152</t>
        </is>
      </c>
      <c r="R7" s="9" t="inlineStr">
        <is>
          <t>L</t>
        </is>
      </c>
      <c r="S7" s="9" t="inlineStr">
        <is>
          <t>800.0</t>
        </is>
      </c>
      <c r="T7" s="9" t="inlineStr">
        <is>
          <t>有</t>
        </is>
      </c>
      <c r="U7" s="9" t="inlineStr">
        <is>
          <t>751da85d12f2a94c6f91bbe19c7a751207231e3e5f97a3d82737fa596ed84239</t>
        </is>
      </c>
      <c r="V7" s="9" t="inlineStr">
        <is>
          <t>28ddbfd8</t>
        </is>
      </c>
      <c r="W7" s="9" t="inlineStr">
        <is>
          <t>28ddbfd8</t>
        </is>
      </c>
      <c r="X7" s="9" t="inlineStr">
        <is>
          <t>一致</t>
        </is>
      </c>
    </row>
    <row r="8" ht="30" customHeight="1">
      <c r="B8" s="9" t="inlineStr">
        <is>
          <t>WB-TIFF-005</t>
        </is>
      </c>
      <c r="C8" s="9" t="inlineStr">
        <is>
          <t>rep1</t>
        </is>
      </c>
      <c r="D8" s="9" t="inlineStr">
        <is>
          <t>p-p65</t>
        </is>
      </c>
      <c r="E8" s="9" t="inlineStr">
        <is>
          <t>P-P65.tif</t>
        </is>
      </c>
      <c r="F8" s="9" t="inlineStr">
        <is>
          <t>rep1/P-P65.tif</t>
        </is>
      </c>
      <c r="G8" s="9" t="inlineStr">
        <is>
          <t>备选版本</t>
        </is>
      </c>
      <c r="H8" s="9" t="inlineStr">
        <is>
          <t>rep1_p-p65</t>
        </is>
      </c>
      <c r="I8" s="9" t="inlineStr">
        <is>
          <t>Sheet1!5</t>
        </is>
      </c>
      <c r="J8" s="9" t="inlineStr">
        <is>
          <t>C5 / D5 / E5</t>
        </is>
      </c>
      <c r="K8" s="9" t="inlineStr">
        <is>
          <t>同名靶标单元格，仅用于识别候选</t>
        </is>
      </c>
      <c r="L8" s="9" t="inlineStr">
        <is>
          <t>未用于图 5</t>
        </is>
      </c>
      <c r="M8" s="9" t="inlineStr">
        <is>
          <t>未纳入 10144(1).rar 的 044 来源包</t>
        </is>
      </c>
      <c r="N8" s="9" t="inlineStr">
        <is>
          <t>备选保留；不作灰度来源指认</t>
        </is>
      </c>
      <c r="O8" s="9" t="inlineStr">
        <is>
          <t>无需删除；归档保留以维持来源完整</t>
        </is>
      </c>
      <c r="P8" s="9" t="n">
        <v>13894434</v>
      </c>
      <c r="Q8" s="9" t="inlineStr">
        <is>
          <t>4407×3152</t>
        </is>
      </c>
      <c r="R8" s="9" t="inlineStr">
        <is>
          <t>L</t>
        </is>
      </c>
      <c r="S8" s="9" t="inlineStr">
        <is>
          <t>800.0</t>
        </is>
      </c>
      <c r="T8" s="9" t="inlineStr">
        <is>
          <t>无</t>
        </is>
      </c>
      <c r="U8" s="9" t="inlineStr">
        <is>
          <t>f8ad9307d49f775902c71dc19e5d6545fa1bcae7957392b07930a3f8d9c18dbe</t>
        </is>
      </c>
      <c r="V8" s="9" t="n"/>
      <c r="W8" s="9" t="n"/>
      <c r="X8" s="9" t="n"/>
    </row>
    <row r="9" ht="30" customHeight="1">
      <c r="B9" s="9" t="inlineStr">
        <is>
          <t>WB-TIFF-006</t>
        </is>
      </c>
      <c r="C9" s="9" t="inlineStr">
        <is>
          <t>rep1</t>
        </is>
      </c>
      <c r="D9" s="9" t="inlineStr">
        <is>
          <t>p65</t>
        </is>
      </c>
      <c r="E9" s="9" t="inlineStr">
        <is>
          <t>P65 (1).tif</t>
        </is>
      </c>
      <c r="F9" s="9" t="inlineStr">
        <is>
          <t>rep1/P65 (1).tif</t>
        </is>
      </c>
      <c r="G9" s="9" t="inlineStr">
        <is>
          <t>主用原膜</t>
        </is>
      </c>
      <c r="H9" s="9" t="inlineStr">
        <is>
          <t>rep1_p65</t>
        </is>
      </c>
      <c r="I9" s="9" t="inlineStr">
        <is>
          <t>Sheet1!6</t>
        </is>
      </c>
      <c r="J9" s="9" t="inlineStr">
        <is>
          <t>C6 / D6 / E6</t>
        </is>
      </c>
      <c r="K9" s="9" t="inlineStr">
        <is>
          <t>主用文件对应</t>
        </is>
      </c>
      <c r="L9" s="9" t="inlineStr">
        <is>
          <t>044.pptx / image4.png</t>
        </is>
      </c>
      <c r="M9" s="9" t="inlineStr">
        <is>
          <t>10144(1).rar 与 044.pptx 同源打包；大小及 CRC32 一致；PPT 裁带 NCC=0.998103</t>
        </is>
      </c>
      <c r="N9" s="9" t="inlineStr">
        <is>
          <t>主用文件确认；ROI记录待补</t>
        </is>
      </c>
      <c r="O9" s="9" t="inlineStr">
        <is>
          <t>原始 ImageJ ROI、背景扣除与曝光选择记录</t>
        </is>
      </c>
      <c r="P9" s="9" t="n">
        <v>13894434</v>
      </c>
      <c r="Q9" s="9" t="inlineStr">
        <is>
          <t>4407×3152</t>
        </is>
      </c>
      <c r="R9" s="9" t="inlineStr">
        <is>
          <t>L</t>
        </is>
      </c>
      <c r="S9" s="9" t="inlineStr">
        <is>
          <t>800.0</t>
        </is>
      </c>
      <c r="T9" s="9" t="inlineStr">
        <is>
          <t>无</t>
        </is>
      </c>
      <c r="U9" s="9" t="inlineStr">
        <is>
          <t>55a557f712e5a48d8fbc3f5c817c825accb05ea53104cd4bb9bb9c9229370c20</t>
        </is>
      </c>
      <c r="V9" s="9" t="inlineStr">
        <is>
          <t>11d88301</t>
        </is>
      </c>
      <c r="W9" s="9" t="inlineStr">
        <is>
          <t>11d88301</t>
        </is>
      </c>
      <c r="X9" s="9" t="inlineStr">
        <is>
          <t>一致</t>
        </is>
      </c>
    </row>
    <row r="10" ht="30" customHeight="1">
      <c r="B10" s="9" t="inlineStr">
        <is>
          <t>WB-TIFF-007</t>
        </is>
      </c>
      <c r="C10" s="9" t="inlineStr">
        <is>
          <t>rep1</t>
        </is>
      </c>
      <c r="D10" s="9" t="inlineStr">
        <is>
          <t>p65</t>
        </is>
      </c>
      <c r="E10" s="9" t="inlineStr">
        <is>
          <t>P65.tif</t>
        </is>
      </c>
      <c r="F10" s="9" t="inlineStr">
        <is>
          <t>rep1/P65.tif</t>
        </is>
      </c>
      <c r="G10" s="9" t="inlineStr">
        <is>
          <t>备选版本</t>
        </is>
      </c>
      <c r="H10" s="9" t="inlineStr">
        <is>
          <t>rep1_p65</t>
        </is>
      </c>
      <c r="I10" s="9" t="inlineStr">
        <is>
          <t>Sheet1!6</t>
        </is>
      </c>
      <c r="J10" s="9" t="inlineStr">
        <is>
          <t>C6 / D6 / E6</t>
        </is>
      </c>
      <c r="K10" s="9" t="inlineStr">
        <is>
          <t>同名靶标单元格，仅用于识别候选</t>
        </is>
      </c>
      <c r="L10" s="9" t="inlineStr">
        <is>
          <t>未用于图 5</t>
        </is>
      </c>
      <c r="M10" s="9" t="inlineStr">
        <is>
          <t>未纳入 10144(1).rar 的 044 来源包</t>
        </is>
      </c>
      <c r="N10" s="9" t="inlineStr">
        <is>
          <t>备选保留；不作灰度来源指认</t>
        </is>
      </c>
      <c r="O10" s="9" t="inlineStr">
        <is>
          <t>无需删除；归档保留以维持来源完整</t>
        </is>
      </c>
      <c r="P10" s="9" t="n">
        <v>13894434</v>
      </c>
      <c r="Q10" s="9" t="inlineStr">
        <is>
          <t>4407×3152</t>
        </is>
      </c>
      <c r="R10" s="9" t="inlineStr">
        <is>
          <t>L</t>
        </is>
      </c>
      <c r="S10" s="9" t="inlineStr">
        <is>
          <t>800.0</t>
        </is>
      </c>
      <c r="T10" s="9" t="inlineStr">
        <is>
          <t>无</t>
        </is>
      </c>
      <c r="U10" s="9" t="inlineStr">
        <is>
          <t>d62ee047a4b64203a16db77324bb13e41baf3d1baf9a62a1323ff6f6ae4f94d3</t>
        </is>
      </c>
      <c r="V10" s="9" t="n"/>
      <c r="W10" s="9" t="n"/>
      <c r="X10" s="9" t="n"/>
    </row>
    <row r="11" ht="30" customHeight="1">
      <c r="B11" s="9" t="inlineStr">
        <is>
          <t>WB-TIFF-008</t>
        </is>
      </c>
      <c r="C11" s="9" t="inlineStr">
        <is>
          <t>rep1</t>
        </is>
      </c>
      <c r="D11" s="9" t="inlineStr">
        <is>
          <t>Nuclear p65</t>
        </is>
      </c>
      <c r="E11" s="9" t="inlineStr">
        <is>
          <t>P65核 (1).tif</t>
        </is>
      </c>
      <c r="F11" s="9" t="inlineStr">
        <is>
          <t>rep1/P65核 (1).tif</t>
        </is>
      </c>
      <c r="G11" s="9" t="inlineStr">
        <is>
          <t>主用原膜</t>
        </is>
      </c>
      <c r="H11" s="9" t="inlineStr"/>
      <c r="I11" s="9" t="inlineStr">
        <is>
          <t>Sheet1!8</t>
        </is>
      </c>
      <c r="J11" s="9" t="inlineStr">
        <is>
          <t>C8 / D8 / E8</t>
        </is>
      </c>
      <c r="K11" s="9" t="inlineStr">
        <is>
          <t>主用文件对应</t>
        </is>
      </c>
      <c r="L11" s="9" t="inlineStr">
        <is>
          <t>022.pptx / image7.png</t>
        </is>
      </c>
      <c r="M11" s="9" t="inlineStr">
        <is>
          <t>该重复／靶标仅有这一份全膜文件</t>
        </is>
      </c>
      <c r="N11" s="9" t="inlineStr">
        <is>
          <t>唯一主文件；ROI记录待补</t>
        </is>
      </c>
      <c r="O11" s="9" t="inlineStr">
        <is>
          <t>原始 ImageJ ROI、背景扣除与曝光选择记录</t>
        </is>
      </c>
      <c r="P11" s="9" t="n">
        <v>13894434</v>
      </c>
      <c r="Q11" s="9" t="inlineStr">
        <is>
          <t>4407×3152</t>
        </is>
      </c>
      <c r="R11" s="9" t="inlineStr">
        <is>
          <t>L</t>
        </is>
      </c>
      <c r="S11" s="9" t="inlineStr">
        <is>
          <t>800.0</t>
        </is>
      </c>
      <c r="T11" s="9" t="inlineStr">
        <is>
          <t>无</t>
        </is>
      </c>
      <c r="U11" s="9" t="inlineStr">
        <is>
          <t>6ff02fd65b2a0493d1dd0ad16d58e3e06a76ad46fc959f47e0124d6dfcb3ce5e</t>
        </is>
      </c>
      <c r="V11" s="9" t="n"/>
      <c r="W11" s="9" t="n"/>
      <c r="X11" s="9" t="n"/>
    </row>
    <row r="12" ht="30" customHeight="1">
      <c r="B12" s="9" t="inlineStr">
        <is>
          <t>WB-TIFF-009</t>
        </is>
      </c>
      <c r="C12" s="9" t="inlineStr">
        <is>
          <t>rep1</t>
        </is>
      </c>
      <c r="D12" s="9" t="inlineStr">
        <is>
          <t>Cytoplasmic p65</t>
        </is>
      </c>
      <c r="E12" s="9" t="inlineStr">
        <is>
          <t>P65质 (1).tif</t>
        </is>
      </c>
      <c r="F12" s="9" t="inlineStr">
        <is>
          <t>rep1/P65质 (1).tif</t>
        </is>
      </c>
      <c r="G12" s="9" t="inlineStr">
        <is>
          <t>主用原膜</t>
        </is>
      </c>
      <c r="H12" s="9" t="inlineStr"/>
      <c r="I12" s="9" t="inlineStr">
        <is>
          <t>Sheet1!9</t>
        </is>
      </c>
      <c r="J12" s="9" t="inlineStr">
        <is>
          <t>C9 / D9 / E9</t>
        </is>
      </c>
      <c r="K12" s="9" t="inlineStr">
        <is>
          <t>主用文件对应</t>
        </is>
      </c>
      <c r="L12" s="9" t="inlineStr">
        <is>
          <t>022.pptx / image10.png</t>
        </is>
      </c>
      <c r="M12" s="9" t="inlineStr">
        <is>
          <t>该重复／靶标仅有这一份全膜文件</t>
        </is>
      </c>
      <c r="N12" s="9" t="inlineStr">
        <is>
          <t>唯一主文件；ROI记录待补</t>
        </is>
      </c>
      <c r="O12" s="9" t="inlineStr">
        <is>
          <t>原始 ImageJ ROI、背景扣除与曝光选择记录</t>
        </is>
      </c>
      <c r="P12" s="9" t="n">
        <v>13894434</v>
      </c>
      <c r="Q12" s="9" t="inlineStr">
        <is>
          <t>4407×3152</t>
        </is>
      </c>
      <c r="R12" s="9" t="inlineStr">
        <is>
          <t>L</t>
        </is>
      </c>
      <c r="S12" s="9" t="inlineStr">
        <is>
          <t>800.0</t>
        </is>
      </c>
      <c r="T12" s="9" t="inlineStr">
        <is>
          <t>无</t>
        </is>
      </c>
      <c r="U12" s="9" t="inlineStr">
        <is>
          <t>14329e065aa0bf338f97ec792bf77d5df92187d3a20a8b60c51db115d1148681</t>
        </is>
      </c>
      <c r="V12" s="9" t="n"/>
      <c r="W12" s="9" t="n"/>
      <c r="X12" s="9" t="n"/>
    </row>
    <row r="13" ht="30" customHeight="1">
      <c r="B13" s="9" t="inlineStr">
        <is>
          <t>WB-TIFF-010</t>
        </is>
      </c>
      <c r="C13" s="9" t="inlineStr">
        <is>
          <t>rep2</t>
        </is>
      </c>
      <c r="D13" s="9" t="inlineStr">
        <is>
          <t>β-actin</t>
        </is>
      </c>
      <c r="E13" s="9" t="inlineStr">
        <is>
          <t>actin (2).tif</t>
        </is>
      </c>
      <c r="F13" s="9" t="inlineStr">
        <is>
          <t>rep2/actin (2).tif</t>
        </is>
      </c>
      <c r="G13" s="9" t="inlineStr">
        <is>
          <t>主用原膜</t>
        </is>
      </c>
      <c r="H13" s="9" t="inlineStr"/>
      <c r="I13" s="9" t="inlineStr">
        <is>
          <t>Sheet1!10</t>
        </is>
      </c>
      <c r="J13" s="9" t="inlineStr">
        <is>
          <t>G10 / H10 / I10</t>
        </is>
      </c>
      <c r="K13" s="9" t="inlineStr">
        <is>
          <t>主用文件对应</t>
        </is>
      </c>
      <c r="L13" s="9" t="inlineStr">
        <is>
          <t>图 5 仅展示 rep1 裁带</t>
        </is>
      </c>
      <c r="M13" s="9" t="inlineStr">
        <is>
          <t>该重复／靶标仅有这一份全膜文件</t>
        </is>
      </c>
      <c r="N13" s="9" t="inlineStr">
        <is>
          <t>唯一主文件；ROI记录待补</t>
        </is>
      </c>
      <c r="O13" s="9" t="inlineStr">
        <is>
          <t>原始 ImageJ ROI、背景扣除与曝光选择记录</t>
        </is>
      </c>
      <c r="P13" s="9" t="n">
        <v>13894434</v>
      </c>
      <c r="Q13" s="9" t="inlineStr">
        <is>
          <t>4407×3152</t>
        </is>
      </c>
      <c r="R13" s="9" t="inlineStr">
        <is>
          <t>L</t>
        </is>
      </c>
      <c r="S13" s="9" t="inlineStr">
        <is>
          <t>800.0</t>
        </is>
      </c>
      <c r="T13" s="9" t="inlineStr">
        <is>
          <t>无</t>
        </is>
      </c>
      <c r="U13" s="9" t="inlineStr">
        <is>
          <t>a8b34160494ac6c8768fc630d9743f8b782a9e02d1e7871be728f91998a4bfb4</t>
        </is>
      </c>
      <c r="V13" s="9" t="n"/>
      <c r="W13" s="9" t="n"/>
      <c r="X13" s="9" t="n"/>
    </row>
    <row r="14" ht="30" customHeight="1">
      <c r="B14" s="9" t="inlineStr">
        <is>
          <t>WB-TIFF-011</t>
        </is>
      </c>
      <c r="C14" s="9" t="inlineStr">
        <is>
          <t>rep2</t>
        </is>
      </c>
      <c r="D14" s="9" t="inlineStr">
        <is>
          <t>IκBα</t>
        </is>
      </c>
      <c r="E14" s="9" t="inlineStr">
        <is>
          <t>IkBa (2).tif</t>
        </is>
      </c>
      <c r="F14" s="9" t="inlineStr">
        <is>
          <t>rep2/IkBa (2).tif</t>
        </is>
      </c>
      <c r="G14" s="9" t="inlineStr">
        <is>
          <t>主用原膜</t>
        </is>
      </c>
      <c r="H14" s="9" t="inlineStr"/>
      <c r="I14" s="9" t="inlineStr">
        <is>
          <t>Sheet1!3</t>
        </is>
      </c>
      <c r="J14" s="9" t="inlineStr">
        <is>
          <t>G3 / H3 / I3</t>
        </is>
      </c>
      <c r="K14" s="9" t="inlineStr">
        <is>
          <t>主用文件对应</t>
        </is>
      </c>
      <c r="L14" s="9" t="inlineStr">
        <is>
          <t>图 5 仅展示 rep1 裁带</t>
        </is>
      </c>
      <c r="M14" s="9" t="inlineStr">
        <is>
          <t>该重复／靶标仅有这一份全膜文件</t>
        </is>
      </c>
      <c r="N14" s="9" t="inlineStr">
        <is>
          <t>唯一主文件；ROI记录待补</t>
        </is>
      </c>
      <c r="O14" s="9" t="inlineStr">
        <is>
          <t>原始 ImageJ ROI、背景扣除与曝光选择记录</t>
        </is>
      </c>
      <c r="P14" s="9" t="n">
        <v>13894434</v>
      </c>
      <c r="Q14" s="9" t="inlineStr">
        <is>
          <t>4407×3152</t>
        </is>
      </c>
      <c r="R14" s="9" t="inlineStr">
        <is>
          <t>L</t>
        </is>
      </c>
      <c r="S14" s="9" t="inlineStr">
        <is>
          <t>800.0</t>
        </is>
      </c>
      <c r="T14" s="9" t="inlineStr">
        <is>
          <t>无</t>
        </is>
      </c>
      <c r="U14" s="9" t="inlineStr">
        <is>
          <t>630d1a0732be60fd9c0f77ce674a23453125c6004cd535e0fa5861757fe67918</t>
        </is>
      </c>
      <c r="V14" s="9" t="n"/>
      <c r="W14" s="9" t="n"/>
      <c r="X14" s="9" t="n"/>
    </row>
    <row r="15" ht="30" customHeight="1">
      <c r="B15" s="9" t="inlineStr">
        <is>
          <t>WB-TIFF-012</t>
        </is>
      </c>
      <c r="C15" s="9" t="inlineStr">
        <is>
          <t>rep2</t>
        </is>
      </c>
      <c r="D15" s="9" t="inlineStr">
        <is>
          <t>p-IκBα</t>
        </is>
      </c>
      <c r="E15" s="9" t="inlineStr">
        <is>
          <t>P-IkBa (2).tif</t>
        </is>
      </c>
      <c r="F15" s="9" t="inlineStr">
        <is>
          <t>rep2/P-IkBa (2).tif</t>
        </is>
      </c>
      <c r="G15" s="9" t="inlineStr">
        <is>
          <t>主用原膜</t>
        </is>
      </c>
      <c r="H15" s="9" t="inlineStr"/>
      <c r="I15" s="9" t="inlineStr">
        <is>
          <t>Sheet1!2</t>
        </is>
      </c>
      <c r="J15" s="9" t="inlineStr">
        <is>
          <t>G2 / H2 / I2</t>
        </is>
      </c>
      <c r="K15" s="9" t="inlineStr">
        <is>
          <t>主用文件对应</t>
        </is>
      </c>
      <c r="L15" s="9" t="inlineStr">
        <is>
          <t>图 5 仅展示 rep1 裁带</t>
        </is>
      </c>
      <c r="M15" s="9" t="inlineStr">
        <is>
          <t>该重复／靶标仅有这一份全膜文件</t>
        </is>
      </c>
      <c r="N15" s="9" t="inlineStr">
        <is>
          <t>唯一主文件；ROI记录待补</t>
        </is>
      </c>
      <c r="O15" s="9" t="inlineStr">
        <is>
          <t>原始 ImageJ ROI、背景扣除与曝光选择记录</t>
        </is>
      </c>
      <c r="P15" s="9" t="n">
        <v>13894434</v>
      </c>
      <c r="Q15" s="9" t="inlineStr">
        <is>
          <t>4407×3152</t>
        </is>
      </c>
      <c r="R15" s="9" t="inlineStr">
        <is>
          <t>L</t>
        </is>
      </c>
      <c r="S15" s="9" t="inlineStr">
        <is>
          <t>800.0</t>
        </is>
      </c>
      <c r="T15" s="9" t="inlineStr">
        <is>
          <t>无</t>
        </is>
      </c>
      <c r="U15" s="9" t="inlineStr">
        <is>
          <t>7fe525d5e4de6715cf6e45fd2c147204cd52c55615658453ac03b7b5da9943cd</t>
        </is>
      </c>
      <c r="V15" s="9" t="n"/>
      <c r="W15" s="9" t="n"/>
      <c r="X15" s="9" t="n"/>
    </row>
    <row r="16" ht="30" customHeight="1">
      <c r="B16" s="9" t="inlineStr">
        <is>
          <t>WB-TIFF-013</t>
        </is>
      </c>
      <c r="C16" s="9" t="inlineStr">
        <is>
          <t>rep2</t>
        </is>
      </c>
      <c r="D16" s="9" t="inlineStr">
        <is>
          <t>p-p65</t>
        </is>
      </c>
      <c r="E16" s="9" t="inlineStr">
        <is>
          <t>P-P65 (2).tif</t>
        </is>
      </c>
      <c r="F16" s="9" t="inlineStr">
        <is>
          <t>rep2/P-P65 (2).tif</t>
        </is>
      </c>
      <c r="G16" s="9" t="inlineStr">
        <is>
          <t>主用原膜</t>
        </is>
      </c>
      <c r="H16" s="9" t="inlineStr">
        <is>
          <t>rep2_p-p65</t>
        </is>
      </c>
      <c r="I16" s="9" t="inlineStr">
        <is>
          <t>Sheet1!5</t>
        </is>
      </c>
      <c r="J16" s="9" t="inlineStr">
        <is>
          <t>G5 / H5 / I5</t>
        </is>
      </c>
      <c r="K16" s="9" t="inlineStr">
        <is>
          <t>主用文件对应</t>
        </is>
      </c>
      <c r="L16" s="9" t="inlineStr">
        <is>
          <t>图 5 仅展示 rep1 裁带</t>
        </is>
      </c>
      <c r="M16" s="9" t="inlineStr">
        <is>
          <t>10144(1).rar 与 044.pptx 同源打包；大小及 CRC32 一致</t>
        </is>
      </c>
      <c r="N16" s="9" t="inlineStr">
        <is>
          <t>主用文件确认；ROI记录待补</t>
        </is>
      </c>
      <c r="O16" s="9" t="inlineStr">
        <is>
          <t>原始 ImageJ ROI、背景扣除与曝光选择记录</t>
        </is>
      </c>
      <c r="P16" s="9" t="n">
        <v>13894434</v>
      </c>
      <c r="Q16" s="9" t="inlineStr">
        <is>
          <t>4407×3152</t>
        </is>
      </c>
      <c r="R16" s="9" t="inlineStr">
        <is>
          <t>L</t>
        </is>
      </c>
      <c r="S16" s="9" t="inlineStr">
        <is>
          <t>800.0</t>
        </is>
      </c>
      <c r="T16" s="9" t="inlineStr">
        <is>
          <t>无</t>
        </is>
      </c>
      <c r="U16" s="9" t="inlineStr">
        <is>
          <t>b5eec2fbb7d68543247a0cb8b70014fecfb811ebf97d357966623633644a8607</t>
        </is>
      </c>
      <c r="V16" s="9" t="inlineStr">
        <is>
          <t>c9f4566b</t>
        </is>
      </c>
      <c r="W16" s="9" t="inlineStr">
        <is>
          <t>c9f4566b</t>
        </is>
      </c>
      <c r="X16" s="9" t="inlineStr">
        <is>
          <t>一致</t>
        </is>
      </c>
    </row>
    <row r="17" ht="30" customHeight="1">
      <c r="B17" s="9" t="inlineStr">
        <is>
          <t>WB-TIFF-014</t>
        </is>
      </c>
      <c r="C17" s="9" t="inlineStr">
        <is>
          <t>rep2</t>
        </is>
      </c>
      <c r="D17" s="9" t="inlineStr">
        <is>
          <t>p-p65</t>
        </is>
      </c>
      <c r="E17" s="9" t="inlineStr">
        <is>
          <t>P-P65.tif</t>
        </is>
      </c>
      <c r="F17" s="9" t="inlineStr">
        <is>
          <t>rep2/P-P65.tif</t>
        </is>
      </c>
      <c r="G17" s="9" t="inlineStr">
        <is>
          <t>备选版本</t>
        </is>
      </c>
      <c r="H17" s="9" t="inlineStr">
        <is>
          <t>rep2_p-p65</t>
        </is>
      </c>
      <c r="I17" s="9" t="inlineStr">
        <is>
          <t>Sheet1!5</t>
        </is>
      </c>
      <c r="J17" s="9" t="inlineStr">
        <is>
          <t>G5 / H5 / I5</t>
        </is>
      </c>
      <c r="K17" s="9" t="inlineStr">
        <is>
          <t>同名靶标单元格，仅用于识别候选</t>
        </is>
      </c>
      <c r="L17" s="9" t="inlineStr">
        <is>
          <t>未用于图 5</t>
        </is>
      </c>
      <c r="M17" s="9" t="inlineStr">
        <is>
          <t>未纳入 10144(1).rar 的 044 来源包</t>
        </is>
      </c>
      <c r="N17" s="9" t="inlineStr">
        <is>
          <t>备选保留；不作灰度来源指认</t>
        </is>
      </c>
      <c r="O17" s="9" t="inlineStr">
        <is>
          <t>无需删除；归档保留以维持来源完整</t>
        </is>
      </c>
      <c r="P17" s="9" t="n">
        <v>13894434</v>
      </c>
      <c r="Q17" s="9" t="inlineStr">
        <is>
          <t>4407×3152</t>
        </is>
      </c>
      <c r="R17" s="9" t="inlineStr">
        <is>
          <t>L</t>
        </is>
      </c>
      <c r="S17" s="9" t="inlineStr">
        <is>
          <t>800.0</t>
        </is>
      </c>
      <c r="T17" s="9" t="inlineStr">
        <is>
          <t>无</t>
        </is>
      </c>
      <c r="U17" s="9" t="inlineStr">
        <is>
          <t>368dfa54da04bb4c006e31f38b43330e7b06ed2909e9a358469eb57f084f90c0</t>
        </is>
      </c>
      <c r="V17" s="9" t="n"/>
      <c r="W17" s="9" t="n"/>
      <c r="X17" s="9" t="n"/>
    </row>
    <row r="18" ht="30" customHeight="1">
      <c r="B18" s="9" t="inlineStr">
        <is>
          <t>WB-TIFF-015</t>
        </is>
      </c>
      <c r="C18" s="9" t="inlineStr">
        <is>
          <t>rep2</t>
        </is>
      </c>
      <c r="D18" s="9" t="inlineStr">
        <is>
          <t>p65</t>
        </is>
      </c>
      <c r="E18" s="9" t="inlineStr">
        <is>
          <t>P65 (2).tif</t>
        </is>
      </c>
      <c r="F18" s="9" t="inlineStr">
        <is>
          <t>rep2/P65 (2).tif</t>
        </is>
      </c>
      <c r="G18" s="9" t="inlineStr">
        <is>
          <t>主用原膜</t>
        </is>
      </c>
      <c r="H18" s="9" t="inlineStr">
        <is>
          <t>rep2_p65</t>
        </is>
      </c>
      <c r="I18" s="9" t="inlineStr">
        <is>
          <t>Sheet1!6</t>
        </is>
      </c>
      <c r="J18" s="9" t="inlineStr">
        <is>
          <t>G6 / H6 / I6</t>
        </is>
      </c>
      <c r="K18" s="9" t="inlineStr">
        <is>
          <t>主用文件对应</t>
        </is>
      </c>
      <c r="L18" s="9" t="inlineStr">
        <is>
          <t>图 5 仅展示 rep1 裁带</t>
        </is>
      </c>
      <c r="M18" s="9" t="inlineStr">
        <is>
          <t>10144(1).rar 与 044.pptx 同源打包；大小及 CRC32 一致</t>
        </is>
      </c>
      <c r="N18" s="9" t="inlineStr">
        <is>
          <t>主用文件确认；ROI记录待补</t>
        </is>
      </c>
      <c r="O18" s="9" t="inlineStr">
        <is>
          <t>原始 ImageJ ROI、背景扣除与曝光选择记录</t>
        </is>
      </c>
      <c r="P18" s="9" t="n">
        <v>13894434</v>
      </c>
      <c r="Q18" s="9" t="inlineStr">
        <is>
          <t>4407×3152</t>
        </is>
      </c>
      <c r="R18" s="9" t="inlineStr">
        <is>
          <t>L</t>
        </is>
      </c>
      <c r="S18" s="9" t="inlineStr">
        <is>
          <t>800.0</t>
        </is>
      </c>
      <c r="T18" s="9" t="inlineStr">
        <is>
          <t>无</t>
        </is>
      </c>
      <c r="U18" s="9" t="inlineStr">
        <is>
          <t>efe331a51683480925cf749bf262896820bbd6990a811e3c3c9f6cc289b65a87</t>
        </is>
      </c>
      <c r="V18" s="9" t="inlineStr">
        <is>
          <t>f2319585</t>
        </is>
      </c>
      <c r="W18" s="9" t="inlineStr">
        <is>
          <t>f2319585</t>
        </is>
      </c>
      <c r="X18" s="9" t="inlineStr">
        <is>
          <t>一致</t>
        </is>
      </c>
    </row>
    <row r="19" ht="30" customHeight="1">
      <c r="B19" s="9" t="inlineStr">
        <is>
          <t>WB-TIFF-016</t>
        </is>
      </c>
      <c r="C19" s="9" t="inlineStr">
        <is>
          <t>rep2</t>
        </is>
      </c>
      <c r="D19" s="9" t="inlineStr">
        <is>
          <t>p65</t>
        </is>
      </c>
      <c r="E19" s="9" t="inlineStr">
        <is>
          <t>P65.tif</t>
        </is>
      </c>
      <c r="F19" s="9" t="inlineStr">
        <is>
          <t>rep2/P65.tif</t>
        </is>
      </c>
      <c r="G19" s="9" t="inlineStr">
        <is>
          <t>备选版本</t>
        </is>
      </c>
      <c r="H19" s="9" t="inlineStr">
        <is>
          <t>rep2_p65</t>
        </is>
      </c>
      <c r="I19" s="9" t="inlineStr">
        <is>
          <t>Sheet1!6</t>
        </is>
      </c>
      <c r="J19" s="9" t="inlineStr">
        <is>
          <t>G6 / H6 / I6</t>
        </is>
      </c>
      <c r="K19" s="9" t="inlineStr">
        <is>
          <t>同名靶标单元格，仅用于识别候选</t>
        </is>
      </c>
      <c r="L19" s="9" t="inlineStr">
        <is>
          <t>未用于图 5</t>
        </is>
      </c>
      <c r="M19" s="9" t="inlineStr">
        <is>
          <t>未纳入 10144(1).rar 的 044 来源包</t>
        </is>
      </c>
      <c r="N19" s="9" t="inlineStr">
        <is>
          <t>备选保留；不作灰度来源指认</t>
        </is>
      </c>
      <c r="O19" s="9" t="inlineStr">
        <is>
          <t>无需删除；归档保留以维持来源完整</t>
        </is>
      </c>
      <c r="P19" s="9" t="n">
        <v>13894434</v>
      </c>
      <c r="Q19" s="9" t="inlineStr">
        <is>
          <t>4407×3152</t>
        </is>
      </c>
      <c r="R19" s="9" t="inlineStr">
        <is>
          <t>L</t>
        </is>
      </c>
      <c r="S19" s="9" t="inlineStr">
        <is>
          <t>800.0</t>
        </is>
      </c>
      <c r="T19" s="9" t="inlineStr">
        <is>
          <t>无</t>
        </is>
      </c>
      <c r="U19" s="9" t="inlineStr">
        <is>
          <t>ef2a4d5b40003efc5887e9b68c440b09b4481f0ece4d259ff4bece75e9412956</t>
        </is>
      </c>
      <c r="V19" s="9" t="n"/>
      <c r="W19" s="9" t="n"/>
      <c r="X19" s="9" t="n"/>
    </row>
    <row r="20" ht="30" customHeight="1">
      <c r="B20" s="9" t="inlineStr">
        <is>
          <t>WB-TIFF-017</t>
        </is>
      </c>
      <c r="C20" s="9" t="inlineStr">
        <is>
          <t>rep2</t>
        </is>
      </c>
      <c r="D20" s="9" t="inlineStr">
        <is>
          <t>Nuclear p65</t>
        </is>
      </c>
      <c r="E20" s="9" t="inlineStr">
        <is>
          <t>P65核 (2).tif</t>
        </is>
      </c>
      <c r="F20" s="9" t="inlineStr">
        <is>
          <t>rep2/P65核 (2).tif</t>
        </is>
      </c>
      <c r="G20" s="9" t="inlineStr">
        <is>
          <t>主用原膜</t>
        </is>
      </c>
      <c r="H20" s="9" t="inlineStr"/>
      <c r="I20" s="9" t="inlineStr">
        <is>
          <t>Sheet1!8</t>
        </is>
      </c>
      <c r="J20" s="9" t="inlineStr">
        <is>
          <t>G8 / H8 / I8</t>
        </is>
      </c>
      <c r="K20" s="9" t="inlineStr">
        <is>
          <t>主用文件对应</t>
        </is>
      </c>
      <c r="L20" s="9" t="inlineStr">
        <is>
          <t>图 5 仅展示 rep1 裁带</t>
        </is>
      </c>
      <c r="M20" s="9" t="inlineStr">
        <is>
          <t>该重复／靶标仅有这一份全膜文件</t>
        </is>
      </c>
      <c r="N20" s="9" t="inlineStr">
        <is>
          <t>唯一主文件；ROI记录待补</t>
        </is>
      </c>
      <c r="O20" s="9" t="inlineStr">
        <is>
          <t>原始 ImageJ ROI、背景扣除与曝光选择记录</t>
        </is>
      </c>
      <c r="P20" s="9" t="n">
        <v>13894434</v>
      </c>
      <c r="Q20" s="9" t="inlineStr">
        <is>
          <t>4407×3152</t>
        </is>
      </c>
      <c r="R20" s="9" t="inlineStr">
        <is>
          <t>L</t>
        </is>
      </c>
      <c r="S20" s="9" t="inlineStr">
        <is>
          <t>800.0</t>
        </is>
      </c>
      <c r="T20" s="9" t="inlineStr">
        <is>
          <t>无</t>
        </is>
      </c>
      <c r="U20" s="9" t="inlineStr">
        <is>
          <t>ad983315d2bf604d7ef30d8e57b440d4798fd38a3876fda462cac193342e6318</t>
        </is>
      </c>
      <c r="V20" s="9" t="n"/>
      <c r="W20" s="9" t="n"/>
      <c r="X20" s="9" t="n"/>
    </row>
    <row r="21" ht="30" customHeight="1">
      <c r="B21" s="9" t="inlineStr">
        <is>
          <t>WB-TIFF-018</t>
        </is>
      </c>
      <c r="C21" s="9" t="inlineStr">
        <is>
          <t>rep2</t>
        </is>
      </c>
      <c r="D21" s="9" t="inlineStr">
        <is>
          <t>Cytoplasmic p65</t>
        </is>
      </c>
      <c r="E21" s="9" t="inlineStr">
        <is>
          <t>P65质 (2).tif</t>
        </is>
      </c>
      <c r="F21" s="9" t="inlineStr">
        <is>
          <t>rep2/P65质 (2).tif</t>
        </is>
      </c>
      <c r="G21" s="9" t="inlineStr">
        <is>
          <t>主用原膜</t>
        </is>
      </c>
      <c r="H21" s="9" t="inlineStr"/>
      <c r="I21" s="9" t="inlineStr">
        <is>
          <t>Sheet1!9</t>
        </is>
      </c>
      <c r="J21" s="9" t="inlineStr">
        <is>
          <t>G9 / H9 / I9</t>
        </is>
      </c>
      <c r="K21" s="9" t="inlineStr">
        <is>
          <t>主用文件对应</t>
        </is>
      </c>
      <c r="L21" s="9" t="inlineStr">
        <is>
          <t>图 5 仅展示 rep1 裁带</t>
        </is>
      </c>
      <c r="M21" s="9" t="inlineStr">
        <is>
          <t>该重复／靶标仅有这一份全膜文件</t>
        </is>
      </c>
      <c r="N21" s="9" t="inlineStr">
        <is>
          <t>唯一主文件；ROI记录待补</t>
        </is>
      </c>
      <c r="O21" s="9" t="inlineStr">
        <is>
          <t>原始 ImageJ ROI、背景扣除与曝光选择记录</t>
        </is>
      </c>
      <c r="P21" s="9" t="n">
        <v>13894434</v>
      </c>
      <c r="Q21" s="9" t="inlineStr">
        <is>
          <t>4407×3152</t>
        </is>
      </c>
      <c r="R21" s="9" t="inlineStr">
        <is>
          <t>L</t>
        </is>
      </c>
      <c r="S21" s="9" t="inlineStr">
        <is>
          <t>800.0</t>
        </is>
      </c>
      <c r="T21" s="9" t="inlineStr">
        <is>
          <t>无</t>
        </is>
      </c>
      <c r="U21" s="9" t="inlineStr">
        <is>
          <t>8bab859ca67e8a73f8463e014e646084ec556ade989434962b702259e9a5ad8f</t>
        </is>
      </c>
      <c r="V21" s="9" t="n"/>
      <c r="W21" s="9" t="n"/>
      <c r="X21" s="9" t="n"/>
    </row>
    <row r="22" ht="30" customHeight="1">
      <c r="B22" s="9" t="inlineStr">
        <is>
          <t>WB-TIFF-019</t>
        </is>
      </c>
      <c r="C22" s="9" t="inlineStr">
        <is>
          <t>rep3</t>
        </is>
      </c>
      <c r="D22" s="9" t="inlineStr">
        <is>
          <t>β-actin</t>
        </is>
      </c>
      <c r="E22" s="9" t="inlineStr">
        <is>
          <t>actin (3).tif</t>
        </is>
      </c>
      <c r="F22" s="9" t="inlineStr">
        <is>
          <t>rep3/actin (3).tif</t>
        </is>
      </c>
      <c r="G22" s="9" t="inlineStr">
        <is>
          <t>主用原膜</t>
        </is>
      </c>
      <c r="H22" s="9" t="inlineStr"/>
      <c r="I22" s="9" t="inlineStr">
        <is>
          <t>Sheet1!10</t>
        </is>
      </c>
      <c r="J22" s="9" t="inlineStr">
        <is>
          <t>K10 / L10 / M10</t>
        </is>
      </c>
      <c r="K22" s="9" t="inlineStr">
        <is>
          <t>主用文件对应</t>
        </is>
      </c>
      <c r="L22" s="9" t="inlineStr">
        <is>
          <t>图 5 仅展示 rep1 裁带</t>
        </is>
      </c>
      <c r="M22" s="9" t="inlineStr">
        <is>
          <t>该重复／靶标仅有这一份全膜文件</t>
        </is>
      </c>
      <c r="N22" s="9" t="inlineStr">
        <is>
          <t>唯一主文件；ROI记录待补</t>
        </is>
      </c>
      <c r="O22" s="9" t="inlineStr">
        <is>
          <t>原始 ImageJ ROI、背景扣除与曝光选择记录</t>
        </is>
      </c>
      <c r="P22" s="9" t="n">
        <v>13894434</v>
      </c>
      <c r="Q22" s="9" t="inlineStr">
        <is>
          <t>4407×3152</t>
        </is>
      </c>
      <c r="R22" s="9" t="inlineStr">
        <is>
          <t>L</t>
        </is>
      </c>
      <c r="S22" s="9" t="inlineStr">
        <is>
          <t>800.0</t>
        </is>
      </c>
      <c r="T22" s="9" t="inlineStr">
        <is>
          <t>无</t>
        </is>
      </c>
      <c r="U22" s="9" t="inlineStr">
        <is>
          <t>21462a346be44675ecda369bade55e67b637b1e6327cf29a6ed3ccec2fb38858</t>
        </is>
      </c>
      <c r="V22" s="9" t="n"/>
      <c r="W22" s="9" t="n"/>
      <c r="X22" s="9" t="n"/>
    </row>
    <row r="23" ht="30" customHeight="1">
      <c r="B23" s="9" t="inlineStr">
        <is>
          <t>WB-TIFF-020</t>
        </is>
      </c>
      <c r="C23" s="9" t="inlineStr">
        <is>
          <t>rep3</t>
        </is>
      </c>
      <c r="D23" s="9" t="inlineStr">
        <is>
          <t>IκBα</t>
        </is>
      </c>
      <c r="E23" s="9" t="inlineStr">
        <is>
          <t>IkBa (3).tif</t>
        </is>
      </c>
      <c r="F23" s="9" t="inlineStr">
        <is>
          <t>rep3/IkBa (3).tif</t>
        </is>
      </c>
      <c r="G23" s="9" t="inlineStr">
        <is>
          <t>主用原膜</t>
        </is>
      </c>
      <c r="H23" s="9" t="inlineStr"/>
      <c r="I23" s="9" t="inlineStr">
        <is>
          <t>Sheet1!3</t>
        </is>
      </c>
      <c r="J23" s="9" t="inlineStr">
        <is>
          <t>K3 / L3 / M3</t>
        </is>
      </c>
      <c r="K23" s="9" t="inlineStr">
        <is>
          <t>主用文件对应</t>
        </is>
      </c>
      <c r="L23" s="9" t="inlineStr">
        <is>
          <t>图 5 仅展示 rep1 裁带</t>
        </is>
      </c>
      <c r="M23" s="9" t="inlineStr">
        <is>
          <t>该重复／靶标仅有这一份全膜文件</t>
        </is>
      </c>
      <c r="N23" s="9" t="inlineStr">
        <is>
          <t>唯一主文件；ROI记录待补</t>
        </is>
      </c>
      <c r="O23" s="9" t="inlineStr">
        <is>
          <t>原始 ImageJ ROI、背景扣除与曝光选择记录</t>
        </is>
      </c>
      <c r="P23" s="9" t="n">
        <v>13894434</v>
      </c>
      <c r="Q23" s="9" t="inlineStr">
        <is>
          <t>4407×3152</t>
        </is>
      </c>
      <c r="R23" s="9" t="inlineStr">
        <is>
          <t>L</t>
        </is>
      </c>
      <c r="S23" s="9" t="inlineStr">
        <is>
          <t>800.0</t>
        </is>
      </c>
      <c r="T23" s="9" t="inlineStr">
        <is>
          <t>无</t>
        </is>
      </c>
      <c r="U23" s="9" t="inlineStr">
        <is>
          <t>9dd81a453e8b5e8cb50db2cc42f29273635f401ec9f9af8275c4cdfea913ec5d</t>
        </is>
      </c>
      <c r="V23" s="9" t="n"/>
      <c r="W23" s="9" t="n"/>
      <c r="X23" s="9" t="n"/>
    </row>
    <row r="24" ht="30" customHeight="1">
      <c r="B24" s="9" t="inlineStr">
        <is>
          <t>WB-TIFF-021</t>
        </is>
      </c>
      <c r="C24" s="9" t="inlineStr">
        <is>
          <t>rep3</t>
        </is>
      </c>
      <c r="D24" s="9" t="inlineStr">
        <is>
          <t>p-IκBα</t>
        </is>
      </c>
      <c r="E24" s="9" t="inlineStr">
        <is>
          <t>P-IkBa (3).tif</t>
        </is>
      </c>
      <c r="F24" s="9" t="inlineStr">
        <is>
          <t>rep3/P-IkBa (3).tif</t>
        </is>
      </c>
      <c r="G24" s="9" t="inlineStr">
        <is>
          <t>主用原膜</t>
        </is>
      </c>
      <c r="H24" s="9" t="inlineStr"/>
      <c r="I24" s="9" t="inlineStr">
        <is>
          <t>Sheet1!2</t>
        </is>
      </c>
      <c r="J24" s="9" t="inlineStr">
        <is>
          <t>K2 / L2 / M2</t>
        </is>
      </c>
      <c r="K24" s="9" t="inlineStr">
        <is>
          <t>主用文件对应</t>
        </is>
      </c>
      <c r="L24" s="9" t="inlineStr">
        <is>
          <t>图 5 仅展示 rep1 裁带</t>
        </is>
      </c>
      <c r="M24" s="9" t="inlineStr">
        <is>
          <t>该重复／靶标仅有这一份全膜文件</t>
        </is>
      </c>
      <c r="N24" s="9" t="inlineStr">
        <is>
          <t>唯一主文件；ROI记录待补</t>
        </is>
      </c>
      <c r="O24" s="9" t="inlineStr">
        <is>
          <t>原始 ImageJ ROI、背景扣除与曝光选择记录</t>
        </is>
      </c>
      <c r="P24" s="9" t="n">
        <v>13894434</v>
      </c>
      <c r="Q24" s="9" t="inlineStr">
        <is>
          <t>4407×3152</t>
        </is>
      </c>
      <c r="R24" s="9" t="inlineStr">
        <is>
          <t>L</t>
        </is>
      </c>
      <c r="S24" s="9" t="inlineStr">
        <is>
          <t>800.0</t>
        </is>
      </c>
      <c r="T24" s="9" t="inlineStr">
        <is>
          <t>无</t>
        </is>
      </c>
      <c r="U24" s="9" t="inlineStr">
        <is>
          <t>3a5195c19c699f7dc4f0cf8a7ba60ff1f68a131319636e161910aa61a6057bd3</t>
        </is>
      </c>
      <c r="V24" s="9" t="n"/>
      <c r="W24" s="9" t="n"/>
      <c r="X24" s="9" t="n"/>
    </row>
    <row r="25" ht="30" customHeight="1">
      <c r="B25" s="9" t="inlineStr">
        <is>
          <t>WB-TIFF-022</t>
        </is>
      </c>
      <c r="C25" s="9" t="inlineStr">
        <is>
          <t>rep3</t>
        </is>
      </c>
      <c r="D25" s="9" t="inlineStr">
        <is>
          <t>p-p65</t>
        </is>
      </c>
      <c r="E25" s="9" t="inlineStr">
        <is>
          <t>P-P65 (3).tif</t>
        </is>
      </c>
      <c r="F25" s="9" t="inlineStr">
        <is>
          <t>rep3/P-P65 (3).tif</t>
        </is>
      </c>
      <c r="G25" s="9" t="inlineStr">
        <is>
          <t>主用原膜</t>
        </is>
      </c>
      <c r="H25" s="9" t="inlineStr">
        <is>
          <t>rep3_p-p65</t>
        </is>
      </c>
      <c r="I25" s="9" t="inlineStr">
        <is>
          <t>Sheet1!5</t>
        </is>
      </c>
      <c r="J25" s="9" t="inlineStr">
        <is>
          <t>K5 / L5 / M5</t>
        </is>
      </c>
      <c r="K25" s="9" t="inlineStr">
        <is>
          <t>主用文件对应</t>
        </is>
      </c>
      <c r="L25" s="9" t="inlineStr">
        <is>
          <t>图 5 仅展示 rep1 裁带</t>
        </is>
      </c>
      <c r="M25" s="9" t="inlineStr">
        <is>
          <t>10144(1).rar 与 044.pptx 同源打包；大小及 CRC32 一致</t>
        </is>
      </c>
      <c r="N25" s="9" t="inlineStr">
        <is>
          <t>主用文件确认；ROI记录待补</t>
        </is>
      </c>
      <c r="O25" s="9" t="inlineStr">
        <is>
          <t>原始 ImageJ ROI、背景扣除与曝光选择记录</t>
        </is>
      </c>
      <c r="P25" s="9" t="n">
        <v>13894434</v>
      </c>
      <c r="Q25" s="9" t="inlineStr">
        <is>
          <t>4407×3152</t>
        </is>
      </c>
      <c r="R25" s="9" t="inlineStr">
        <is>
          <t>L</t>
        </is>
      </c>
      <c r="S25" s="9" t="inlineStr">
        <is>
          <t>800.0</t>
        </is>
      </c>
      <c r="T25" s="9" t="inlineStr">
        <is>
          <t>无</t>
        </is>
      </c>
      <c r="U25" s="9" t="inlineStr">
        <is>
          <t>29bb85ee5b1f305d1f0272323e12945a54e9e38dba6ba6e8f6463887a4640bbb</t>
        </is>
      </c>
      <c r="V25" s="9" t="inlineStr">
        <is>
          <t>7c58b470</t>
        </is>
      </c>
      <c r="W25" s="9" t="inlineStr">
        <is>
          <t>7c58b470</t>
        </is>
      </c>
      <c r="X25" s="9" t="inlineStr">
        <is>
          <t>一致</t>
        </is>
      </c>
    </row>
    <row r="26" ht="30" customHeight="1">
      <c r="B26" s="9" t="inlineStr">
        <is>
          <t>WB-TIFF-023</t>
        </is>
      </c>
      <c r="C26" s="9" t="inlineStr">
        <is>
          <t>rep3</t>
        </is>
      </c>
      <c r="D26" s="9" t="inlineStr">
        <is>
          <t>p65</t>
        </is>
      </c>
      <c r="E26" s="9" t="inlineStr">
        <is>
          <t>P65 (3).tif</t>
        </is>
      </c>
      <c r="F26" s="9" t="inlineStr">
        <is>
          <t>rep3/P65 (3).tif</t>
        </is>
      </c>
      <c r="G26" s="9" t="inlineStr">
        <is>
          <t>主用原膜</t>
        </is>
      </c>
      <c r="H26" s="9" t="inlineStr">
        <is>
          <t>rep3_p65</t>
        </is>
      </c>
      <c r="I26" s="9" t="inlineStr">
        <is>
          <t>Sheet1!6</t>
        </is>
      </c>
      <c r="J26" s="9" t="inlineStr">
        <is>
          <t>K6 / L6 / M6</t>
        </is>
      </c>
      <c r="K26" s="9" t="inlineStr">
        <is>
          <t>主用文件对应</t>
        </is>
      </c>
      <c r="L26" s="9" t="inlineStr">
        <is>
          <t>图 5 仅展示 rep1 裁带</t>
        </is>
      </c>
      <c r="M26" s="9" t="inlineStr">
        <is>
          <t>10144(1).rar 与 044.pptx 同源打包；大小及 CRC32 一致</t>
        </is>
      </c>
      <c r="N26" s="9" t="inlineStr">
        <is>
          <t>主用文件确认；ROI记录待补</t>
        </is>
      </c>
      <c r="O26" s="9" t="inlineStr">
        <is>
          <t>原始 ImageJ ROI、背景扣除与曝光选择记录</t>
        </is>
      </c>
      <c r="P26" s="9" t="n">
        <v>16302334</v>
      </c>
      <c r="Q26" s="9" t="inlineStr">
        <is>
          <t>4407×3152</t>
        </is>
      </c>
      <c r="R26" s="9" t="inlineStr">
        <is>
          <t>L</t>
        </is>
      </c>
      <c r="S26" s="9" t="inlineStr">
        <is>
          <t>800.0</t>
        </is>
      </c>
      <c r="T26" s="9" t="inlineStr">
        <is>
          <t>有</t>
        </is>
      </c>
      <c r="U26" s="9" t="inlineStr">
        <is>
          <t>2fda66b1e1cc95ae9ea9b919f8b2aac3c06e7f8e6fbde652eba9fcbcf201d414</t>
        </is>
      </c>
      <c r="V26" s="9" t="inlineStr">
        <is>
          <t>540a644d</t>
        </is>
      </c>
      <c r="W26" s="9" t="inlineStr">
        <is>
          <t>540a644d</t>
        </is>
      </c>
      <c r="X26" s="9" t="inlineStr">
        <is>
          <t>一致</t>
        </is>
      </c>
    </row>
    <row r="27" ht="30" customHeight="1">
      <c r="B27" s="9" t="inlineStr">
        <is>
          <t>WB-TIFF-024</t>
        </is>
      </c>
      <c r="C27" s="9" t="inlineStr">
        <is>
          <t>rep3</t>
        </is>
      </c>
      <c r="D27" s="9" t="inlineStr">
        <is>
          <t>p65</t>
        </is>
      </c>
      <c r="E27" s="9" t="inlineStr">
        <is>
          <t>p65.tif</t>
        </is>
      </c>
      <c r="F27" s="9" t="inlineStr">
        <is>
          <t>rep3/p65.tif</t>
        </is>
      </c>
      <c r="G27" s="9" t="inlineStr">
        <is>
          <t>备选版本</t>
        </is>
      </c>
      <c r="H27" s="9" t="inlineStr">
        <is>
          <t>rep3_p65</t>
        </is>
      </c>
      <c r="I27" s="9" t="inlineStr">
        <is>
          <t>Sheet1!6</t>
        </is>
      </c>
      <c r="J27" s="9" t="inlineStr">
        <is>
          <t>K6 / L6 / M6</t>
        </is>
      </c>
      <c r="K27" s="9" t="inlineStr">
        <is>
          <t>同名靶标单元格，仅用于识别候选</t>
        </is>
      </c>
      <c r="L27" s="9" t="inlineStr">
        <is>
          <t>未用于图 5</t>
        </is>
      </c>
      <c r="M27" s="9" t="inlineStr">
        <is>
          <t>未纳入 10144(1).rar 的 044 来源包</t>
        </is>
      </c>
      <c r="N27" s="9" t="inlineStr">
        <is>
          <t>备选保留；不作灰度来源指认</t>
        </is>
      </c>
      <c r="O27" s="9" t="inlineStr">
        <is>
          <t>无需删除；归档保留以维持来源完整</t>
        </is>
      </c>
      <c r="P27" s="9" t="n">
        <v>893330</v>
      </c>
      <c r="Q27" s="9" t="inlineStr">
        <is>
          <t>398×561</t>
        </is>
      </c>
      <c r="R27" s="9" t="inlineStr">
        <is>
          <t>RGBA</t>
        </is>
      </c>
      <c r="S27" s="9" t="inlineStr">
        <is>
          <t>96.0</t>
        </is>
      </c>
      <c r="T27" s="9" t="inlineStr">
        <is>
          <t>无</t>
        </is>
      </c>
      <c r="U27" s="9" t="inlineStr">
        <is>
          <t>27dee697fdcb4202b0b7bda9b30a2600de28ac4a60bafad240e9dd46126b47b7</t>
        </is>
      </c>
      <c r="V27" s="9" t="n"/>
      <c r="W27" s="9" t="n"/>
      <c r="X27" s="9" t="n"/>
    </row>
    <row r="28" ht="30" customHeight="1">
      <c r="B28" s="9" t="inlineStr">
        <is>
          <t>WB-TIFF-025</t>
        </is>
      </c>
      <c r="C28" s="9" t="inlineStr">
        <is>
          <t>rep3</t>
        </is>
      </c>
      <c r="D28" s="9" t="inlineStr">
        <is>
          <t>Nuclear p65</t>
        </is>
      </c>
      <c r="E28" s="9" t="inlineStr">
        <is>
          <t>P65核 (3).tif</t>
        </is>
      </c>
      <c r="F28" s="9" t="inlineStr">
        <is>
          <t>rep3/P65核 (3).tif</t>
        </is>
      </c>
      <c r="G28" s="9" t="inlineStr">
        <is>
          <t>主用原膜</t>
        </is>
      </c>
      <c r="H28" s="9" t="inlineStr"/>
      <c r="I28" s="9" t="inlineStr">
        <is>
          <t>Sheet1!8</t>
        </is>
      </c>
      <c r="J28" s="9" t="inlineStr">
        <is>
          <t>K8 / L8 / M8</t>
        </is>
      </c>
      <c r="K28" s="9" t="inlineStr">
        <is>
          <t>主用文件对应</t>
        </is>
      </c>
      <c r="L28" s="9" t="inlineStr">
        <is>
          <t>图 5 仅展示 rep1 裁带</t>
        </is>
      </c>
      <c r="M28" s="9" t="inlineStr">
        <is>
          <t>该重复／靶标仅有这一份全膜文件</t>
        </is>
      </c>
      <c r="N28" s="9" t="inlineStr">
        <is>
          <t>唯一主文件；ROI记录待补</t>
        </is>
      </c>
      <c r="O28" s="9" t="inlineStr">
        <is>
          <t>原始 ImageJ ROI、背景扣除与曝光选择记录</t>
        </is>
      </c>
      <c r="P28" s="9" t="n">
        <v>13894434</v>
      </c>
      <c r="Q28" s="9" t="inlineStr">
        <is>
          <t>4407×3152</t>
        </is>
      </c>
      <c r="R28" s="9" t="inlineStr">
        <is>
          <t>L</t>
        </is>
      </c>
      <c r="S28" s="9" t="inlineStr">
        <is>
          <t>800.0</t>
        </is>
      </c>
      <c r="T28" s="9" t="inlineStr">
        <is>
          <t>无</t>
        </is>
      </c>
      <c r="U28" s="9" t="inlineStr">
        <is>
          <t>314d8e5c55fbc993c05e16afc0609803079843e966e2172894c7bb1db898cefd</t>
        </is>
      </c>
      <c r="V28" s="9" t="n"/>
      <c r="W28" s="9" t="n"/>
      <c r="X28" s="9" t="n"/>
    </row>
    <row r="29" ht="30" customHeight="1">
      <c r="B29" s="9" t="inlineStr">
        <is>
          <t>WB-TIFF-026</t>
        </is>
      </c>
      <c r="C29" s="9" t="inlineStr">
        <is>
          <t>rep3</t>
        </is>
      </c>
      <c r="D29" s="9" t="inlineStr">
        <is>
          <t>Cytoplasmic p65</t>
        </is>
      </c>
      <c r="E29" s="9" t="inlineStr">
        <is>
          <t>P65质 (3).tif</t>
        </is>
      </c>
      <c r="F29" s="9" t="inlineStr">
        <is>
          <t>rep3/P65质 (3).tif</t>
        </is>
      </c>
      <c r="G29" s="9" t="inlineStr">
        <is>
          <t>主用原膜</t>
        </is>
      </c>
      <c r="H29" s="9" t="inlineStr"/>
      <c r="I29" s="9" t="inlineStr">
        <is>
          <t>Sheet1!9</t>
        </is>
      </c>
      <c r="J29" s="9" t="inlineStr">
        <is>
          <t>K9 / L9 / M9</t>
        </is>
      </c>
      <c r="K29" s="9" t="inlineStr">
        <is>
          <t>主用文件对应</t>
        </is>
      </c>
      <c r="L29" s="9" t="inlineStr">
        <is>
          <t>图 5 仅展示 rep1 裁带</t>
        </is>
      </c>
      <c r="M29" s="9" t="inlineStr">
        <is>
          <t>该重复／靶标仅有这一份全膜文件</t>
        </is>
      </c>
      <c r="N29" s="9" t="inlineStr">
        <is>
          <t>唯一主文件；ROI记录待补</t>
        </is>
      </c>
      <c r="O29" s="9" t="inlineStr">
        <is>
          <t>原始 ImageJ ROI、背景扣除与曝光选择记录</t>
        </is>
      </c>
      <c r="P29" s="9" t="n">
        <v>13894434</v>
      </c>
      <c r="Q29" s="9" t="inlineStr">
        <is>
          <t>4407×3152</t>
        </is>
      </c>
      <c r="R29" s="9" t="inlineStr">
        <is>
          <t>L</t>
        </is>
      </c>
      <c r="S29" s="9" t="inlineStr">
        <is>
          <t>800.0</t>
        </is>
      </c>
      <c r="T29" s="9" t="inlineStr">
        <is>
          <t>无</t>
        </is>
      </c>
      <c r="U29" s="9" t="inlineStr">
        <is>
          <t>74dee10a31a75c0050617cc75ff4972ae619920499c336aa844202aa2e996f97</t>
        </is>
      </c>
      <c r="V29" s="9" t="n"/>
      <c r="W29" s="9" t="n"/>
      <c r="X29" s="9" t="n"/>
    </row>
    <row r="30" ht="30" customHeight="1">
      <c r="B30" s="9" t="inlineStr">
        <is>
          <t>WB-TIFF-027</t>
        </is>
      </c>
      <c r="C30" s="9" t="inlineStr">
        <is>
          <t>rep3</t>
        </is>
      </c>
      <c r="D30" s="9" t="inlineStr">
        <is>
          <t>p-p65</t>
        </is>
      </c>
      <c r="E30" s="9" t="inlineStr">
        <is>
          <t>pp65.tif</t>
        </is>
      </c>
      <c r="F30" s="9" t="inlineStr">
        <is>
          <t>rep3/pp65.tif</t>
        </is>
      </c>
      <c r="G30" s="9" t="inlineStr">
        <is>
          <t>备选版本</t>
        </is>
      </c>
      <c r="H30" s="9" t="inlineStr">
        <is>
          <t>rep3_p-p65</t>
        </is>
      </c>
      <c r="I30" s="9" t="inlineStr">
        <is>
          <t>Sheet1!5</t>
        </is>
      </c>
      <c r="J30" s="9" t="inlineStr">
        <is>
          <t>K5 / L5 / M5</t>
        </is>
      </c>
      <c r="K30" s="9" t="inlineStr">
        <is>
          <t>同名靶标单元格，仅用于识别候选</t>
        </is>
      </c>
      <c r="L30" s="9" t="inlineStr">
        <is>
          <t>未用于图 5</t>
        </is>
      </c>
      <c r="M30" s="9" t="inlineStr">
        <is>
          <t>未纳入 10144(1).rar 的 044 来源包</t>
        </is>
      </c>
      <c r="N30" s="9" t="inlineStr">
        <is>
          <t>备选保留；不作灰度来源指认</t>
        </is>
      </c>
      <c r="O30" s="9" t="inlineStr">
        <is>
          <t>无需删除；归档保留以维持来源完整</t>
        </is>
      </c>
      <c r="P30" s="9" t="n">
        <v>884022</v>
      </c>
      <c r="Q30" s="9" t="inlineStr">
        <is>
          <t>401×551</t>
        </is>
      </c>
      <c r="R30" s="9" t="inlineStr">
        <is>
          <t>RGBA</t>
        </is>
      </c>
      <c r="S30" s="9" t="inlineStr">
        <is>
          <t>96.0</t>
        </is>
      </c>
      <c r="T30" s="9" t="inlineStr">
        <is>
          <t>无</t>
        </is>
      </c>
      <c r="U30" s="9" t="inlineStr">
        <is>
          <t>27d2c3a698950d2cdbd623a1bc1c72ca4c1260820a1a285392e407aa184e73ab</t>
        </is>
      </c>
      <c r="V30" s="9" t="n"/>
      <c r="W30" s="9" t="n"/>
      <c r="X30" s="9" t="n"/>
    </row>
  </sheetData>
  <autoFilter ref="B3:X30"/>
  <mergeCells count="2">
    <mergeCell ref="B2:X2"/>
    <mergeCell ref="B1:X1"/>
  </mergeCells>
  <conditionalFormatting sqref="N4:N30">
    <cfRule type="expression" priority="1" dxfId="0">
      <formula>ISNUMBER(SEARCH("确认",N4))</formula>
    </cfRule>
    <cfRule type="expression" priority="2" dxfId="1">
      <formula>ISNUMBER(SEARCH("备选",N4))</formula>
    </cfRule>
  </conditionalFormatting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I66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1" customWidth="1" min="2" max="2"/>
    <col width="11" customWidth="1" min="3" max="3"/>
    <col width="21" customWidth="1" min="4" max="4"/>
    <col width="18" customWidth="1" min="5" max="5"/>
    <col width="16" customWidth="1" min="6" max="6"/>
    <col width="34" customWidth="1" min="7" max="7"/>
    <col width="30" customWidth="1" min="8" max="8"/>
    <col width="50" customWidth="1" min="9" max="9"/>
  </cols>
  <sheetData>
    <row r="1" ht="30" customHeight="1">
      <c r="B1" s="1" t="inlineStr">
        <is>
          <t>63 个原始灰度单元格—主用原膜映射</t>
        </is>
      </c>
    </row>
    <row r="2" ht="28" customHeight="1">
      <c r="B2" s="2" t="inlineStr">
        <is>
          <t>数值直接转录自 10.14灰度值(1).xlsx；未重新定量。具体 ROI、背景扣除和曝光选择仍需原始 ImageJ／实验记录。</t>
        </is>
      </c>
    </row>
    <row r="3" ht="32" customHeight="1">
      <c r="B3" s="8" t="inlineStr">
        <is>
          <t>蛋白</t>
        </is>
      </c>
      <c r="C3" s="8" t="inlineStr">
        <is>
          <t>重复</t>
        </is>
      </c>
      <c r="D3" s="8" t="inlineStr">
        <is>
          <t>分组</t>
        </is>
      </c>
      <c r="E3" s="8" t="inlineStr">
        <is>
          <t>来源单元格</t>
        </is>
      </c>
      <c r="F3" s="8" t="inlineStr">
        <is>
          <t>原始灰度值</t>
        </is>
      </c>
      <c r="G3" s="8" t="inlineStr">
        <is>
          <t>主用原膜相对路径</t>
        </is>
      </c>
      <c r="H3" s="8" t="inlineStr">
        <is>
          <t>主文件状态</t>
        </is>
      </c>
      <c r="I3" s="8" t="inlineStr">
        <is>
          <t>定量追溯说明</t>
        </is>
      </c>
    </row>
    <row r="4" ht="30" customHeight="1">
      <c r="B4" s="9" t="inlineStr">
        <is>
          <t>p-IκBα</t>
        </is>
      </c>
      <c r="C4" s="9" t="inlineStr">
        <is>
          <t>rep1</t>
        </is>
      </c>
      <c r="D4" s="9" t="inlineStr">
        <is>
          <t>Control</t>
        </is>
      </c>
      <c r="E4" s="9" t="inlineStr">
        <is>
          <t>Sheet1!C2</t>
        </is>
      </c>
      <c r="F4" s="10" t="n">
        <v>12036</v>
      </c>
      <c r="G4" s="9" t="inlineStr">
        <is>
          <t>rep1/P-IkBa (1).tif</t>
        </is>
      </c>
      <c r="H4" s="9" t="inlineStr">
        <is>
          <t>唯一主文件；ROI记录待补</t>
        </is>
      </c>
      <c r="I4" s="9" t="inlineStr">
        <is>
          <t>灰度值逐格转录；具体 ROI 与背景扣除参数未归档</t>
        </is>
      </c>
    </row>
    <row r="5" ht="30" customHeight="1">
      <c r="B5" s="9" t="inlineStr">
        <is>
          <t>p-IκBα</t>
        </is>
      </c>
      <c r="C5" s="9" t="inlineStr">
        <is>
          <t>rep1</t>
        </is>
      </c>
      <c r="D5" s="9" t="inlineStr">
        <is>
          <t>HKSA+Baicalein</t>
        </is>
      </c>
      <c r="E5" s="9" t="inlineStr">
        <is>
          <t>Sheet1!D2</t>
        </is>
      </c>
      <c r="F5" s="10" t="n">
        <v>23231</v>
      </c>
      <c r="G5" s="9" t="inlineStr">
        <is>
          <t>rep1/P-IkBa (1).tif</t>
        </is>
      </c>
      <c r="H5" s="9" t="inlineStr">
        <is>
          <t>唯一主文件；ROI记录待补</t>
        </is>
      </c>
      <c r="I5" s="9" t="inlineStr">
        <is>
          <t>灰度值逐格转录；具体 ROI 与背景扣除参数未归档</t>
        </is>
      </c>
    </row>
    <row r="6" ht="30" customHeight="1">
      <c r="B6" s="9" t="inlineStr">
        <is>
          <t>p-IκBα</t>
        </is>
      </c>
      <c r="C6" s="9" t="inlineStr">
        <is>
          <t>rep1</t>
        </is>
      </c>
      <c r="D6" s="9" t="inlineStr">
        <is>
          <t>HKSA</t>
        </is>
      </c>
      <c r="E6" s="9" t="inlineStr">
        <is>
          <t>Sheet1!E2</t>
        </is>
      </c>
      <c r="F6" s="10" t="n">
        <v>42099</v>
      </c>
      <c r="G6" s="9" t="inlineStr">
        <is>
          <t>rep1/P-IkBa (1).tif</t>
        </is>
      </c>
      <c r="H6" s="9" t="inlineStr">
        <is>
          <t>唯一主文件；ROI记录待补</t>
        </is>
      </c>
      <c r="I6" s="9" t="inlineStr">
        <is>
          <t>灰度值逐格转录；具体 ROI 与背景扣除参数未归档</t>
        </is>
      </c>
    </row>
    <row r="7" ht="30" customHeight="1">
      <c r="B7" s="9" t="inlineStr">
        <is>
          <t>p-IκBα</t>
        </is>
      </c>
      <c r="C7" s="9" t="inlineStr">
        <is>
          <t>rep2</t>
        </is>
      </c>
      <c r="D7" s="9" t="inlineStr">
        <is>
          <t>Control</t>
        </is>
      </c>
      <c r="E7" s="9" t="inlineStr">
        <is>
          <t>Sheet1!G2</t>
        </is>
      </c>
      <c r="F7" s="10" t="n">
        <v>10244</v>
      </c>
      <c r="G7" s="9" t="inlineStr">
        <is>
          <t>rep2/P-IkBa (2).tif</t>
        </is>
      </c>
      <c r="H7" s="9" t="inlineStr">
        <is>
          <t>唯一主文件；ROI记录待补</t>
        </is>
      </c>
      <c r="I7" s="9" t="inlineStr">
        <is>
          <t>灰度值逐格转录；具体 ROI 与背景扣除参数未归档</t>
        </is>
      </c>
    </row>
    <row r="8" ht="30" customHeight="1">
      <c r="B8" s="9" t="inlineStr">
        <is>
          <t>p-IκBα</t>
        </is>
      </c>
      <c r="C8" s="9" t="inlineStr">
        <is>
          <t>rep2</t>
        </is>
      </c>
      <c r="D8" s="9" t="inlineStr">
        <is>
          <t>HKSA+Baicalein</t>
        </is>
      </c>
      <c r="E8" s="9" t="inlineStr">
        <is>
          <t>Sheet1!H2</t>
        </is>
      </c>
      <c r="F8" s="10" t="n">
        <v>20781</v>
      </c>
      <c r="G8" s="9" t="inlineStr">
        <is>
          <t>rep2/P-IkBa (2).tif</t>
        </is>
      </c>
      <c r="H8" s="9" t="inlineStr">
        <is>
          <t>唯一主文件；ROI记录待补</t>
        </is>
      </c>
      <c r="I8" s="9" t="inlineStr">
        <is>
          <t>灰度值逐格转录；具体 ROI 与背景扣除参数未归档</t>
        </is>
      </c>
    </row>
    <row r="9" ht="30" customHeight="1">
      <c r="B9" s="9" t="inlineStr">
        <is>
          <t>p-IκBα</t>
        </is>
      </c>
      <c r="C9" s="9" t="inlineStr">
        <is>
          <t>rep2</t>
        </is>
      </c>
      <c r="D9" s="9" t="inlineStr">
        <is>
          <t>HKSA</t>
        </is>
      </c>
      <c r="E9" s="9" t="inlineStr">
        <is>
          <t>Sheet1!I2</t>
        </is>
      </c>
      <c r="F9" s="10" t="n">
        <v>41287</v>
      </c>
      <c r="G9" s="9" t="inlineStr">
        <is>
          <t>rep2/P-IkBa (2).tif</t>
        </is>
      </c>
      <c r="H9" s="9" t="inlineStr">
        <is>
          <t>唯一主文件；ROI记录待补</t>
        </is>
      </c>
      <c r="I9" s="9" t="inlineStr">
        <is>
          <t>灰度值逐格转录；具体 ROI 与背景扣除参数未归档</t>
        </is>
      </c>
    </row>
    <row r="10" ht="30" customHeight="1">
      <c r="B10" s="9" t="inlineStr">
        <is>
          <t>p-IκBα</t>
        </is>
      </c>
      <c r="C10" s="9" t="inlineStr">
        <is>
          <t>rep3</t>
        </is>
      </c>
      <c r="D10" s="9" t="inlineStr">
        <is>
          <t>Control</t>
        </is>
      </c>
      <c r="E10" s="9" t="inlineStr">
        <is>
          <t>Sheet1!K2</t>
        </is>
      </c>
      <c r="F10" s="10" t="n">
        <v>11736</v>
      </c>
      <c r="G10" s="9" t="inlineStr">
        <is>
          <t>rep3/P-IkBa (3).tif</t>
        </is>
      </c>
      <c r="H10" s="9" t="inlineStr">
        <is>
          <t>唯一主文件；ROI记录待补</t>
        </is>
      </c>
      <c r="I10" s="9" t="inlineStr">
        <is>
          <t>灰度值逐格转录；具体 ROI 与背景扣除参数未归档</t>
        </is>
      </c>
    </row>
    <row r="11" ht="30" customHeight="1">
      <c r="B11" s="9" t="inlineStr">
        <is>
          <t>p-IκBα</t>
        </is>
      </c>
      <c r="C11" s="9" t="inlineStr">
        <is>
          <t>rep3</t>
        </is>
      </c>
      <c r="D11" s="9" t="inlineStr">
        <is>
          <t>HKSA+Baicalein</t>
        </is>
      </c>
      <c r="E11" s="9" t="inlineStr">
        <is>
          <t>Sheet1!L2</t>
        </is>
      </c>
      <c r="F11" s="10" t="n">
        <v>21259</v>
      </c>
      <c r="G11" s="9" t="inlineStr">
        <is>
          <t>rep3/P-IkBa (3).tif</t>
        </is>
      </c>
      <c r="H11" s="9" t="inlineStr">
        <is>
          <t>唯一主文件；ROI记录待补</t>
        </is>
      </c>
      <c r="I11" s="9" t="inlineStr">
        <is>
          <t>灰度值逐格转录；具体 ROI 与背景扣除参数未归档</t>
        </is>
      </c>
    </row>
    <row r="12" ht="30" customHeight="1">
      <c r="B12" s="9" t="inlineStr">
        <is>
          <t>p-IκBα</t>
        </is>
      </c>
      <c r="C12" s="9" t="inlineStr">
        <is>
          <t>rep3</t>
        </is>
      </c>
      <c r="D12" s="9" t="inlineStr">
        <is>
          <t>HKSA</t>
        </is>
      </c>
      <c r="E12" s="9" t="inlineStr">
        <is>
          <t>Sheet1!M2</t>
        </is>
      </c>
      <c r="F12" s="10" t="n">
        <v>40463</v>
      </c>
      <c r="G12" s="9" t="inlineStr">
        <is>
          <t>rep3/P-IkBa (3).tif</t>
        </is>
      </c>
      <c r="H12" s="9" t="inlineStr">
        <is>
          <t>唯一主文件；ROI记录待补</t>
        </is>
      </c>
      <c r="I12" s="9" t="inlineStr">
        <is>
          <t>灰度值逐格转录；具体 ROI 与背景扣除参数未归档</t>
        </is>
      </c>
    </row>
    <row r="13" ht="30" customHeight="1">
      <c r="B13" s="9" t="inlineStr">
        <is>
          <t>IκBα</t>
        </is>
      </c>
      <c r="C13" s="9" t="inlineStr">
        <is>
          <t>rep1</t>
        </is>
      </c>
      <c r="D13" s="9" t="inlineStr">
        <is>
          <t>Control</t>
        </is>
      </c>
      <c r="E13" s="9" t="inlineStr">
        <is>
          <t>Sheet1!C3</t>
        </is>
      </c>
      <c r="F13" s="10" t="n">
        <v>42832</v>
      </c>
      <c r="G13" s="9" t="inlineStr">
        <is>
          <t>rep1/IkBa (1).tif</t>
        </is>
      </c>
      <c r="H13" s="9" t="inlineStr">
        <is>
          <t>唯一主文件；ROI记录待补</t>
        </is>
      </c>
      <c r="I13" s="9" t="inlineStr">
        <is>
          <t>灰度值逐格转录；具体 ROI 与背景扣除参数未归档</t>
        </is>
      </c>
    </row>
    <row r="14" ht="30" customHeight="1">
      <c r="B14" s="9" t="inlineStr">
        <is>
          <t>IκBα</t>
        </is>
      </c>
      <c r="C14" s="9" t="inlineStr">
        <is>
          <t>rep1</t>
        </is>
      </c>
      <c r="D14" s="9" t="inlineStr">
        <is>
          <t>HKSA+Baicalein</t>
        </is>
      </c>
      <c r="E14" s="9" t="inlineStr">
        <is>
          <t>Sheet1!D3</t>
        </is>
      </c>
      <c r="F14" s="10" t="n">
        <v>41418</v>
      </c>
      <c r="G14" s="9" t="inlineStr">
        <is>
          <t>rep1/IkBa (1).tif</t>
        </is>
      </c>
      <c r="H14" s="9" t="inlineStr">
        <is>
          <t>唯一主文件；ROI记录待补</t>
        </is>
      </c>
      <c r="I14" s="9" t="inlineStr">
        <is>
          <t>灰度值逐格转录；具体 ROI 与背景扣除参数未归档</t>
        </is>
      </c>
    </row>
    <row r="15" ht="30" customHeight="1">
      <c r="B15" s="9" t="inlineStr">
        <is>
          <t>IκBα</t>
        </is>
      </c>
      <c r="C15" s="9" t="inlineStr">
        <is>
          <t>rep1</t>
        </is>
      </c>
      <c r="D15" s="9" t="inlineStr">
        <is>
          <t>HKSA</t>
        </is>
      </c>
      <c r="E15" s="9" t="inlineStr">
        <is>
          <t>Sheet1!E3</t>
        </is>
      </c>
      <c r="F15" s="10" t="n">
        <v>44816</v>
      </c>
      <c r="G15" s="9" t="inlineStr">
        <is>
          <t>rep1/IkBa (1).tif</t>
        </is>
      </c>
      <c r="H15" s="9" t="inlineStr">
        <is>
          <t>唯一主文件；ROI记录待补</t>
        </is>
      </c>
      <c r="I15" s="9" t="inlineStr">
        <is>
          <t>灰度值逐格转录；具体 ROI 与背景扣除参数未归档</t>
        </is>
      </c>
    </row>
    <row r="16" ht="30" customHeight="1">
      <c r="B16" s="9" t="inlineStr">
        <is>
          <t>IκBα</t>
        </is>
      </c>
      <c r="C16" s="9" t="inlineStr">
        <is>
          <t>rep2</t>
        </is>
      </c>
      <c r="D16" s="9" t="inlineStr">
        <is>
          <t>Control</t>
        </is>
      </c>
      <c r="E16" s="9" t="inlineStr">
        <is>
          <t>Sheet1!G3</t>
        </is>
      </c>
      <c r="F16" s="10" t="n">
        <v>43594</v>
      </c>
      <c r="G16" s="9" t="inlineStr">
        <is>
          <t>rep2/IkBa (2).tif</t>
        </is>
      </c>
      <c r="H16" s="9" t="inlineStr">
        <is>
          <t>唯一主文件；ROI记录待补</t>
        </is>
      </c>
      <c r="I16" s="9" t="inlineStr">
        <is>
          <t>灰度值逐格转录；具体 ROI 与背景扣除参数未归档</t>
        </is>
      </c>
    </row>
    <row r="17" ht="30" customHeight="1">
      <c r="B17" s="9" t="inlineStr">
        <is>
          <t>IκBα</t>
        </is>
      </c>
      <c r="C17" s="9" t="inlineStr">
        <is>
          <t>rep2</t>
        </is>
      </c>
      <c r="D17" s="9" t="inlineStr">
        <is>
          <t>HKSA+Baicalein</t>
        </is>
      </c>
      <c r="E17" s="9" t="inlineStr">
        <is>
          <t>Sheet1!H3</t>
        </is>
      </c>
      <c r="F17" s="10" t="n">
        <v>43045</v>
      </c>
      <c r="G17" s="9" t="inlineStr">
        <is>
          <t>rep2/IkBa (2).tif</t>
        </is>
      </c>
      <c r="H17" s="9" t="inlineStr">
        <is>
          <t>唯一主文件；ROI记录待补</t>
        </is>
      </c>
      <c r="I17" s="9" t="inlineStr">
        <is>
          <t>灰度值逐格转录；具体 ROI 与背景扣除参数未归档</t>
        </is>
      </c>
    </row>
    <row r="18" ht="30" customHeight="1">
      <c r="B18" s="9" t="inlineStr">
        <is>
          <t>IκBα</t>
        </is>
      </c>
      <c r="C18" s="9" t="inlineStr">
        <is>
          <t>rep2</t>
        </is>
      </c>
      <c r="D18" s="9" t="inlineStr">
        <is>
          <t>HKSA</t>
        </is>
      </c>
      <c r="E18" s="9" t="inlineStr">
        <is>
          <t>Sheet1!I3</t>
        </is>
      </c>
      <c r="F18" s="10" t="n">
        <v>42127</v>
      </c>
      <c r="G18" s="9" t="inlineStr">
        <is>
          <t>rep2/IkBa (2).tif</t>
        </is>
      </c>
      <c r="H18" s="9" t="inlineStr">
        <is>
          <t>唯一主文件；ROI记录待补</t>
        </is>
      </c>
      <c r="I18" s="9" t="inlineStr">
        <is>
          <t>灰度值逐格转录；具体 ROI 与背景扣除参数未归档</t>
        </is>
      </c>
    </row>
    <row r="19" ht="30" customHeight="1">
      <c r="B19" s="9" t="inlineStr">
        <is>
          <t>IκBα</t>
        </is>
      </c>
      <c r="C19" s="9" t="inlineStr">
        <is>
          <t>rep3</t>
        </is>
      </c>
      <c r="D19" s="9" t="inlineStr">
        <is>
          <t>Control</t>
        </is>
      </c>
      <c r="E19" s="9" t="inlineStr">
        <is>
          <t>Sheet1!K3</t>
        </is>
      </c>
      <c r="F19" s="10" t="n">
        <v>41977</v>
      </c>
      <c r="G19" s="9" t="inlineStr">
        <is>
          <t>rep3/IkBa (3).tif</t>
        </is>
      </c>
      <c r="H19" s="9" t="inlineStr">
        <is>
          <t>唯一主文件；ROI记录待补</t>
        </is>
      </c>
      <c r="I19" s="9" t="inlineStr">
        <is>
          <t>灰度值逐格转录；具体 ROI 与背景扣除参数未归档</t>
        </is>
      </c>
    </row>
    <row r="20" ht="30" customHeight="1">
      <c r="B20" s="9" t="inlineStr">
        <is>
          <t>IκBα</t>
        </is>
      </c>
      <c r="C20" s="9" t="inlineStr">
        <is>
          <t>rep3</t>
        </is>
      </c>
      <c r="D20" s="9" t="inlineStr">
        <is>
          <t>HKSA+Baicalein</t>
        </is>
      </c>
      <c r="E20" s="9" t="inlineStr">
        <is>
          <t>Sheet1!L3</t>
        </is>
      </c>
      <c r="F20" s="10" t="n">
        <v>42976</v>
      </c>
      <c r="G20" s="9" t="inlineStr">
        <is>
          <t>rep3/IkBa (3).tif</t>
        </is>
      </c>
      <c r="H20" s="9" t="inlineStr">
        <is>
          <t>唯一主文件；ROI记录待补</t>
        </is>
      </c>
      <c r="I20" s="9" t="inlineStr">
        <is>
          <t>灰度值逐格转录；具体 ROI 与背景扣除参数未归档</t>
        </is>
      </c>
    </row>
    <row r="21" ht="30" customHeight="1">
      <c r="B21" s="9" t="inlineStr">
        <is>
          <t>IκBα</t>
        </is>
      </c>
      <c r="C21" s="9" t="inlineStr">
        <is>
          <t>rep3</t>
        </is>
      </c>
      <c r="D21" s="9" t="inlineStr">
        <is>
          <t>HKSA</t>
        </is>
      </c>
      <c r="E21" s="9" t="inlineStr">
        <is>
          <t>Sheet1!M3</t>
        </is>
      </c>
      <c r="F21" s="10" t="n">
        <v>41532</v>
      </c>
      <c r="G21" s="9" t="inlineStr">
        <is>
          <t>rep3/IkBa (3).tif</t>
        </is>
      </c>
      <c r="H21" s="9" t="inlineStr">
        <is>
          <t>唯一主文件；ROI记录待补</t>
        </is>
      </c>
      <c r="I21" s="9" t="inlineStr">
        <is>
          <t>灰度值逐格转录；具体 ROI 与背景扣除参数未归档</t>
        </is>
      </c>
    </row>
    <row r="22" ht="30" customHeight="1">
      <c r="B22" s="9" t="inlineStr">
        <is>
          <t>p-p65</t>
        </is>
      </c>
      <c r="C22" s="9" t="inlineStr">
        <is>
          <t>rep1</t>
        </is>
      </c>
      <c r="D22" s="9" t="inlineStr">
        <is>
          <t>Control</t>
        </is>
      </c>
      <c r="E22" s="9" t="inlineStr">
        <is>
          <t>Sheet1!C5</t>
        </is>
      </c>
      <c r="F22" s="10" t="n">
        <v>5560</v>
      </c>
      <c r="G22" s="9" t="inlineStr">
        <is>
          <t>rep1/P-P65 (1).tif</t>
        </is>
      </c>
      <c r="H22" s="9" t="inlineStr">
        <is>
          <t>主用文件确认；ROI记录待补</t>
        </is>
      </c>
      <c r="I22" s="9" t="inlineStr">
        <is>
          <t>灰度值逐格转录；具体 ROI 与背景扣除参数未归档</t>
        </is>
      </c>
    </row>
    <row r="23" ht="30" customHeight="1">
      <c r="B23" s="9" t="inlineStr">
        <is>
          <t>p-p65</t>
        </is>
      </c>
      <c r="C23" s="9" t="inlineStr">
        <is>
          <t>rep1</t>
        </is>
      </c>
      <c r="D23" s="9" t="inlineStr">
        <is>
          <t>HKSA+Baicalein</t>
        </is>
      </c>
      <c r="E23" s="9" t="inlineStr">
        <is>
          <t>Sheet1!D5</t>
        </is>
      </c>
      <c r="F23" s="10" t="n">
        <v>16811</v>
      </c>
      <c r="G23" s="9" t="inlineStr">
        <is>
          <t>rep1/P-P65 (1).tif</t>
        </is>
      </c>
      <c r="H23" s="9" t="inlineStr">
        <is>
          <t>主用文件确认；ROI记录待补</t>
        </is>
      </c>
      <c r="I23" s="9" t="inlineStr">
        <is>
          <t>灰度值逐格转录；具体 ROI 与背景扣除参数未归档</t>
        </is>
      </c>
    </row>
    <row r="24" ht="30" customHeight="1">
      <c r="B24" s="9" t="inlineStr">
        <is>
          <t>p-p65</t>
        </is>
      </c>
      <c r="C24" s="9" t="inlineStr">
        <is>
          <t>rep1</t>
        </is>
      </c>
      <c r="D24" s="9" t="inlineStr">
        <is>
          <t>HKSA</t>
        </is>
      </c>
      <c r="E24" s="9" t="inlineStr">
        <is>
          <t>Sheet1!E5</t>
        </is>
      </c>
      <c r="F24" s="10" t="n">
        <v>32907</v>
      </c>
      <c r="G24" s="9" t="inlineStr">
        <is>
          <t>rep1/P-P65 (1).tif</t>
        </is>
      </c>
      <c r="H24" s="9" t="inlineStr">
        <is>
          <t>主用文件确认；ROI记录待补</t>
        </is>
      </c>
      <c r="I24" s="9" t="inlineStr">
        <is>
          <t>灰度值逐格转录；具体 ROI 与背景扣除参数未归档</t>
        </is>
      </c>
    </row>
    <row r="25" ht="30" customHeight="1">
      <c r="B25" s="9" t="inlineStr">
        <is>
          <t>p-p65</t>
        </is>
      </c>
      <c r="C25" s="9" t="inlineStr">
        <is>
          <t>rep2</t>
        </is>
      </c>
      <c r="D25" s="9" t="inlineStr">
        <is>
          <t>Control</t>
        </is>
      </c>
      <c r="E25" s="9" t="inlineStr">
        <is>
          <t>Sheet1!G5</t>
        </is>
      </c>
      <c r="F25" s="10" t="n">
        <v>5234</v>
      </c>
      <c r="G25" s="9" t="inlineStr">
        <is>
          <t>rep2/P-P65 (2).tif</t>
        </is>
      </c>
      <c r="H25" s="9" t="inlineStr">
        <is>
          <t>主用文件确认；ROI记录待补</t>
        </is>
      </c>
      <c r="I25" s="9" t="inlineStr">
        <is>
          <t>灰度值逐格转录；具体 ROI 与背景扣除参数未归档</t>
        </is>
      </c>
    </row>
    <row r="26" ht="30" customHeight="1">
      <c r="B26" s="9" t="inlineStr">
        <is>
          <t>p-p65</t>
        </is>
      </c>
      <c r="C26" s="9" t="inlineStr">
        <is>
          <t>rep2</t>
        </is>
      </c>
      <c r="D26" s="9" t="inlineStr">
        <is>
          <t>HKSA+Baicalein</t>
        </is>
      </c>
      <c r="E26" s="9" t="inlineStr">
        <is>
          <t>Sheet1!H5</t>
        </is>
      </c>
      <c r="F26" s="10" t="n">
        <v>15312</v>
      </c>
      <c r="G26" s="9" t="inlineStr">
        <is>
          <t>rep2/P-P65 (2).tif</t>
        </is>
      </c>
      <c r="H26" s="9" t="inlineStr">
        <is>
          <t>主用文件确认；ROI记录待补</t>
        </is>
      </c>
      <c r="I26" s="9" t="inlineStr">
        <is>
          <t>灰度值逐格转录；具体 ROI 与背景扣除参数未归档</t>
        </is>
      </c>
    </row>
    <row r="27" ht="30" customHeight="1">
      <c r="B27" s="9" t="inlineStr">
        <is>
          <t>p-p65</t>
        </is>
      </c>
      <c r="C27" s="9" t="inlineStr">
        <is>
          <t>rep2</t>
        </is>
      </c>
      <c r="D27" s="9" t="inlineStr">
        <is>
          <t>HKSA</t>
        </is>
      </c>
      <c r="E27" s="9" t="inlineStr">
        <is>
          <t>Sheet1!I5</t>
        </is>
      </c>
      <c r="F27" s="10" t="n">
        <v>32239</v>
      </c>
      <c r="G27" s="9" t="inlineStr">
        <is>
          <t>rep2/P-P65 (2).tif</t>
        </is>
      </c>
      <c r="H27" s="9" t="inlineStr">
        <is>
          <t>主用文件确认；ROI记录待补</t>
        </is>
      </c>
      <c r="I27" s="9" t="inlineStr">
        <is>
          <t>灰度值逐格转录；具体 ROI 与背景扣除参数未归档</t>
        </is>
      </c>
    </row>
    <row r="28" ht="30" customHeight="1">
      <c r="B28" s="9" t="inlineStr">
        <is>
          <t>p-p65</t>
        </is>
      </c>
      <c r="C28" s="9" t="inlineStr">
        <is>
          <t>rep3</t>
        </is>
      </c>
      <c r="D28" s="9" t="inlineStr">
        <is>
          <t>Control</t>
        </is>
      </c>
      <c r="E28" s="9" t="inlineStr">
        <is>
          <t>Sheet1!K5</t>
        </is>
      </c>
      <c r="F28" s="10" t="n">
        <v>5028</v>
      </c>
      <c r="G28" s="9" t="inlineStr">
        <is>
          <t>rep3/P-P65 (3).tif</t>
        </is>
      </c>
      <c r="H28" s="9" t="inlineStr">
        <is>
          <t>主用文件确认；ROI记录待补</t>
        </is>
      </c>
      <c r="I28" s="9" t="inlineStr">
        <is>
          <t>灰度值逐格转录；具体 ROI 与背景扣除参数未归档</t>
        </is>
      </c>
    </row>
    <row r="29" ht="30" customHeight="1">
      <c r="B29" s="9" t="inlineStr">
        <is>
          <t>p-p65</t>
        </is>
      </c>
      <c r="C29" s="9" t="inlineStr">
        <is>
          <t>rep3</t>
        </is>
      </c>
      <c r="D29" s="9" t="inlineStr">
        <is>
          <t>HKSA+Baicalein</t>
        </is>
      </c>
      <c r="E29" s="9" t="inlineStr">
        <is>
          <t>Sheet1!L5</t>
        </is>
      </c>
      <c r="F29" s="10" t="n">
        <v>15726</v>
      </c>
      <c r="G29" s="9" t="inlineStr">
        <is>
          <t>rep3/P-P65 (3).tif</t>
        </is>
      </c>
      <c r="H29" s="9" t="inlineStr">
        <is>
          <t>主用文件确认；ROI记录待补</t>
        </is>
      </c>
      <c r="I29" s="9" t="inlineStr">
        <is>
          <t>灰度值逐格转录；具体 ROI 与背景扣除参数未归档</t>
        </is>
      </c>
    </row>
    <row r="30" ht="30" customHeight="1">
      <c r="B30" s="9" t="inlineStr">
        <is>
          <t>p-p65</t>
        </is>
      </c>
      <c r="C30" s="9" t="inlineStr">
        <is>
          <t>rep3</t>
        </is>
      </c>
      <c r="D30" s="9" t="inlineStr">
        <is>
          <t>HKSA</t>
        </is>
      </c>
      <c r="E30" s="9" t="inlineStr">
        <is>
          <t>Sheet1!M5</t>
        </is>
      </c>
      <c r="F30" s="10" t="n">
        <v>31371</v>
      </c>
      <c r="G30" s="9" t="inlineStr">
        <is>
          <t>rep3/P-P65 (3).tif</t>
        </is>
      </c>
      <c r="H30" s="9" t="inlineStr">
        <is>
          <t>主用文件确认；ROI记录待补</t>
        </is>
      </c>
      <c r="I30" s="9" t="inlineStr">
        <is>
          <t>灰度值逐格转录；具体 ROI 与背景扣除参数未归档</t>
        </is>
      </c>
    </row>
    <row r="31" ht="30" customHeight="1">
      <c r="B31" s="9" t="inlineStr">
        <is>
          <t>p65</t>
        </is>
      </c>
      <c r="C31" s="9" t="inlineStr">
        <is>
          <t>rep1</t>
        </is>
      </c>
      <c r="D31" s="9" t="inlineStr">
        <is>
          <t>Control</t>
        </is>
      </c>
      <c r="E31" s="9" t="inlineStr">
        <is>
          <t>Sheet1!C6</t>
        </is>
      </c>
      <c r="F31" s="10" t="n">
        <v>43512</v>
      </c>
      <c r="G31" s="9" t="inlineStr">
        <is>
          <t>rep1/P65 (1).tif</t>
        </is>
      </c>
      <c r="H31" s="9" t="inlineStr">
        <is>
          <t>主用文件确认；ROI记录待补</t>
        </is>
      </c>
      <c r="I31" s="9" t="inlineStr">
        <is>
          <t>灰度值逐格转录；具体 ROI 与背景扣除参数未归档</t>
        </is>
      </c>
    </row>
    <row r="32" ht="30" customHeight="1">
      <c r="B32" s="9" t="inlineStr">
        <is>
          <t>p65</t>
        </is>
      </c>
      <c r="C32" s="9" t="inlineStr">
        <is>
          <t>rep1</t>
        </is>
      </c>
      <c r="D32" s="9" t="inlineStr">
        <is>
          <t>HKSA+Baicalein</t>
        </is>
      </c>
      <c r="E32" s="9" t="inlineStr">
        <is>
          <t>Sheet1!D6</t>
        </is>
      </c>
      <c r="F32" s="10" t="n">
        <v>42634</v>
      </c>
      <c r="G32" s="9" t="inlineStr">
        <is>
          <t>rep1/P65 (1).tif</t>
        </is>
      </c>
      <c r="H32" s="9" t="inlineStr">
        <is>
          <t>主用文件确认；ROI记录待补</t>
        </is>
      </c>
      <c r="I32" s="9" t="inlineStr">
        <is>
          <t>灰度值逐格转录；具体 ROI 与背景扣除参数未归档</t>
        </is>
      </c>
    </row>
    <row r="33" ht="30" customHeight="1">
      <c r="B33" s="9" t="inlineStr">
        <is>
          <t>p65</t>
        </is>
      </c>
      <c r="C33" s="9" t="inlineStr">
        <is>
          <t>rep1</t>
        </is>
      </c>
      <c r="D33" s="9" t="inlineStr">
        <is>
          <t>HKSA</t>
        </is>
      </c>
      <c r="E33" s="9" t="inlineStr">
        <is>
          <t>Sheet1!E6</t>
        </is>
      </c>
      <c r="F33" s="10" t="n">
        <v>42674</v>
      </c>
      <c r="G33" s="9" t="inlineStr">
        <is>
          <t>rep1/P65 (1).tif</t>
        </is>
      </c>
      <c r="H33" s="9" t="inlineStr">
        <is>
          <t>主用文件确认；ROI记录待补</t>
        </is>
      </c>
      <c r="I33" s="9" t="inlineStr">
        <is>
          <t>灰度值逐格转录；具体 ROI 与背景扣除参数未归档</t>
        </is>
      </c>
    </row>
    <row r="34" ht="30" customHeight="1">
      <c r="B34" s="9" t="inlineStr">
        <is>
          <t>p65</t>
        </is>
      </c>
      <c r="C34" s="9" t="inlineStr">
        <is>
          <t>rep2</t>
        </is>
      </c>
      <c r="D34" s="9" t="inlineStr">
        <is>
          <t>Control</t>
        </is>
      </c>
      <c r="E34" s="9" t="inlineStr">
        <is>
          <t>Sheet1!G6</t>
        </is>
      </c>
      <c r="F34" s="10" t="n">
        <v>41857</v>
      </c>
      <c r="G34" s="9" t="inlineStr">
        <is>
          <t>rep2/P65 (2).tif</t>
        </is>
      </c>
      <c r="H34" s="9" t="inlineStr">
        <is>
          <t>主用文件确认；ROI记录待补</t>
        </is>
      </c>
      <c r="I34" s="9" t="inlineStr">
        <is>
          <t>灰度值逐格转录；具体 ROI 与背景扣除参数未归档</t>
        </is>
      </c>
    </row>
    <row r="35" ht="30" customHeight="1">
      <c r="B35" s="9" t="inlineStr">
        <is>
          <t>p65</t>
        </is>
      </c>
      <c r="C35" s="9" t="inlineStr">
        <is>
          <t>rep2</t>
        </is>
      </c>
      <c r="D35" s="9" t="inlineStr">
        <is>
          <t>HKSA+Baicalein</t>
        </is>
      </c>
      <c r="E35" s="9" t="inlineStr">
        <is>
          <t>Sheet1!H6</t>
        </is>
      </c>
      <c r="F35" s="10" t="n">
        <v>41195</v>
      </c>
      <c r="G35" s="9" t="inlineStr">
        <is>
          <t>rep2/P65 (2).tif</t>
        </is>
      </c>
      <c r="H35" s="9" t="inlineStr">
        <is>
          <t>主用文件确认；ROI记录待补</t>
        </is>
      </c>
      <c r="I35" s="9" t="inlineStr">
        <is>
          <t>灰度值逐格转录；具体 ROI 与背景扣除参数未归档</t>
        </is>
      </c>
    </row>
    <row r="36" ht="30" customHeight="1">
      <c r="B36" s="9" t="inlineStr">
        <is>
          <t>p65</t>
        </is>
      </c>
      <c r="C36" s="9" t="inlineStr">
        <is>
          <t>rep2</t>
        </is>
      </c>
      <c r="D36" s="9" t="inlineStr">
        <is>
          <t>HKSA</t>
        </is>
      </c>
      <c r="E36" s="9" t="inlineStr">
        <is>
          <t>Sheet1!I6</t>
        </is>
      </c>
      <c r="F36" s="10" t="n">
        <v>41599</v>
      </c>
      <c r="G36" s="9" t="inlineStr">
        <is>
          <t>rep2/P65 (2).tif</t>
        </is>
      </c>
      <c r="H36" s="9" t="inlineStr">
        <is>
          <t>主用文件确认；ROI记录待补</t>
        </is>
      </c>
      <c r="I36" s="9" t="inlineStr">
        <is>
          <t>灰度值逐格转录；具体 ROI 与背景扣除参数未归档</t>
        </is>
      </c>
    </row>
    <row r="37" ht="30" customHeight="1">
      <c r="B37" s="9" t="inlineStr">
        <is>
          <t>p65</t>
        </is>
      </c>
      <c r="C37" s="9" t="inlineStr">
        <is>
          <t>rep3</t>
        </is>
      </c>
      <c r="D37" s="9" t="inlineStr">
        <is>
          <t>Control</t>
        </is>
      </c>
      <c r="E37" s="9" t="inlineStr">
        <is>
          <t>Sheet1!K6</t>
        </is>
      </c>
      <c r="F37" s="10" t="n">
        <v>42159</v>
      </c>
      <c r="G37" s="9" t="inlineStr">
        <is>
          <t>rep3/P65 (3).tif</t>
        </is>
      </c>
      <c r="H37" s="9" t="inlineStr">
        <is>
          <t>主用文件确认；ROI记录待补</t>
        </is>
      </c>
      <c r="I37" s="9" t="inlineStr">
        <is>
          <t>灰度值逐格转录；具体 ROI 与背景扣除参数未归档</t>
        </is>
      </c>
    </row>
    <row r="38" ht="30" customHeight="1">
      <c r="B38" s="9" t="inlineStr">
        <is>
          <t>p65</t>
        </is>
      </c>
      <c r="C38" s="9" t="inlineStr">
        <is>
          <t>rep3</t>
        </is>
      </c>
      <c r="D38" s="9" t="inlineStr">
        <is>
          <t>HKSA+Baicalein</t>
        </is>
      </c>
      <c r="E38" s="9" t="inlineStr">
        <is>
          <t>Sheet1!L6</t>
        </is>
      </c>
      <c r="F38" s="10" t="n">
        <v>41810</v>
      </c>
      <c r="G38" s="9" t="inlineStr">
        <is>
          <t>rep3/P65 (3).tif</t>
        </is>
      </c>
      <c r="H38" s="9" t="inlineStr">
        <is>
          <t>主用文件确认；ROI记录待补</t>
        </is>
      </c>
      <c r="I38" s="9" t="inlineStr">
        <is>
          <t>灰度值逐格转录；具体 ROI 与背景扣除参数未归档</t>
        </is>
      </c>
    </row>
    <row r="39" ht="30" customHeight="1">
      <c r="B39" s="9" t="inlineStr">
        <is>
          <t>p65</t>
        </is>
      </c>
      <c r="C39" s="9" t="inlineStr">
        <is>
          <t>rep3</t>
        </is>
      </c>
      <c r="D39" s="9" t="inlineStr">
        <is>
          <t>HKSA</t>
        </is>
      </c>
      <c r="E39" s="9" t="inlineStr">
        <is>
          <t>Sheet1!M6</t>
        </is>
      </c>
      <c r="F39" s="10" t="n">
        <v>40342</v>
      </c>
      <c r="G39" s="9" t="inlineStr">
        <is>
          <t>rep3/P65 (3).tif</t>
        </is>
      </c>
      <c r="H39" s="9" t="inlineStr">
        <is>
          <t>主用文件确认；ROI记录待补</t>
        </is>
      </c>
      <c r="I39" s="9" t="inlineStr">
        <is>
          <t>灰度值逐格转录；具体 ROI 与背景扣除参数未归档</t>
        </is>
      </c>
    </row>
    <row r="40" ht="30" customHeight="1">
      <c r="B40" s="9" t="inlineStr">
        <is>
          <t>Nuclear p65</t>
        </is>
      </c>
      <c r="C40" s="9" t="inlineStr">
        <is>
          <t>rep1</t>
        </is>
      </c>
      <c r="D40" s="9" t="inlineStr">
        <is>
          <t>Control</t>
        </is>
      </c>
      <c r="E40" s="9" t="inlineStr">
        <is>
          <t>Sheet1!C8</t>
        </is>
      </c>
      <c r="F40" s="10" t="n">
        <v>10033</v>
      </c>
      <c r="G40" s="9" t="inlineStr">
        <is>
          <t>rep1/P65核 (1).tif</t>
        </is>
      </c>
      <c r="H40" s="9" t="inlineStr">
        <is>
          <t>唯一主文件；ROI记录待补</t>
        </is>
      </c>
      <c r="I40" s="9" t="inlineStr">
        <is>
          <t>灰度值逐格转录；具体 ROI 与背景扣除参数未归档</t>
        </is>
      </c>
    </row>
    <row r="41" ht="30" customHeight="1">
      <c r="B41" s="9" t="inlineStr">
        <is>
          <t>Nuclear p65</t>
        </is>
      </c>
      <c r="C41" s="9" t="inlineStr">
        <is>
          <t>rep1</t>
        </is>
      </c>
      <c r="D41" s="9" t="inlineStr">
        <is>
          <t>HKSA+Baicalein</t>
        </is>
      </c>
      <c r="E41" s="9" t="inlineStr">
        <is>
          <t>Sheet1!D8</t>
        </is>
      </c>
      <c r="F41" s="10" t="n">
        <v>19782</v>
      </c>
      <c r="G41" s="9" t="inlineStr">
        <is>
          <t>rep1/P65核 (1).tif</t>
        </is>
      </c>
      <c r="H41" s="9" t="inlineStr">
        <is>
          <t>唯一主文件；ROI记录待补</t>
        </is>
      </c>
      <c r="I41" s="9" t="inlineStr">
        <is>
          <t>灰度值逐格转录；具体 ROI 与背景扣除参数未归档</t>
        </is>
      </c>
    </row>
    <row r="42" ht="30" customHeight="1">
      <c r="B42" s="9" t="inlineStr">
        <is>
          <t>Nuclear p65</t>
        </is>
      </c>
      <c r="C42" s="9" t="inlineStr">
        <is>
          <t>rep1</t>
        </is>
      </c>
      <c r="D42" s="9" t="inlineStr">
        <is>
          <t>HKSA</t>
        </is>
      </c>
      <c r="E42" s="9" t="inlineStr">
        <is>
          <t>Sheet1!E8</t>
        </is>
      </c>
      <c r="F42" s="10" t="n">
        <v>42412</v>
      </c>
      <c r="G42" s="9" t="inlineStr">
        <is>
          <t>rep1/P65核 (1).tif</t>
        </is>
      </c>
      <c r="H42" s="9" t="inlineStr">
        <is>
          <t>唯一主文件；ROI记录待补</t>
        </is>
      </c>
      <c r="I42" s="9" t="inlineStr">
        <is>
          <t>灰度值逐格转录；具体 ROI 与背景扣除参数未归档</t>
        </is>
      </c>
    </row>
    <row r="43" ht="30" customHeight="1">
      <c r="B43" s="9" t="inlineStr">
        <is>
          <t>Nuclear p65</t>
        </is>
      </c>
      <c r="C43" s="9" t="inlineStr">
        <is>
          <t>rep2</t>
        </is>
      </c>
      <c r="D43" s="9" t="inlineStr">
        <is>
          <t>Control</t>
        </is>
      </c>
      <c r="E43" s="9" t="inlineStr">
        <is>
          <t>Sheet1!G8</t>
        </is>
      </c>
      <c r="F43" s="10" t="n">
        <v>9120</v>
      </c>
      <c r="G43" s="9" t="inlineStr">
        <is>
          <t>rep2/P65核 (2).tif</t>
        </is>
      </c>
      <c r="H43" s="9" t="inlineStr">
        <is>
          <t>唯一主文件；ROI记录待补</t>
        </is>
      </c>
      <c r="I43" s="9" t="inlineStr">
        <is>
          <t>灰度值逐格转录；具体 ROI 与背景扣除参数未归档</t>
        </is>
      </c>
    </row>
    <row r="44" ht="30" customHeight="1">
      <c r="B44" s="9" t="inlineStr">
        <is>
          <t>Nuclear p65</t>
        </is>
      </c>
      <c r="C44" s="9" t="inlineStr">
        <is>
          <t>rep2</t>
        </is>
      </c>
      <c r="D44" s="9" t="inlineStr">
        <is>
          <t>HKSA+Baicalein</t>
        </is>
      </c>
      <c r="E44" s="9" t="inlineStr">
        <is>
          <t>Sheet1!H8</t>
        </is>
      </c>
      <c r="F44" s="10" t="n">
        <v>18798</v>
      </c>
      <c r="G44" s="9" t="inlineStr">
        <is>
          <t>rep2/P65核 (2).tif</t>
        </is>
      </c>
      <c r="H44" s="9" t="inlineStr">
        <is>
          <t>唯一主文件；ROI记录待补</t>
        </is>
      </c>
      <c r="I44" s="9" t="inlineStr">
        <is>
          <t>灰度值逐格转录；具体 ROI 与背景扣除参数未归档</t>
        </is>
      </c>
    </row>
    <row r="45" ht="30" customHeight="1">
      <c r="B45" s="9" t="inlineStr">
        <is>
          <t>Nuclear p65</t>
        </is>
      </c>
      <c r="C45" s="9" t="inlineStr">
        <is>
          <t>rep2</t>
        </is>
      </c>
      <c r="D45" s="9" t="inlineStr">
        <is>
          <t>HKSA</t>
        </is>
      </c>
      <c r="E45" s="9" t="inlineStr">
        <is>
          <t>Sheet1!I8</t>
        </is>
      </c>
      <c r="F45" s="10" t="n">
        <v>40165</v>
      </c>
      <c r="G45" s="9" t="inlineStr">
        <is>
          <t>rep2/P65核 (2).tif</t>
        </is>
      </c>
      <c r="H45" s="9" t="inlineStr">
        <is>
          <t>唯一主文件；ROI记录待补</t>
        </is>
      </c>
      <c r="I45" s="9" t="inlineStr">
        <is>
          <t>灰度值逐格转录；具体 ROI 与背景扣除参数未归档</t>
        </is>
      </c>
    </row>
    <row r="46" ht="30" customHeight="1">
      <c r="B46" s="9" t="inlineStr">
        <is>
          <t>Nuclear p65</t>
        </is>
      </c>
      <c r="C46" s="9" t="inlineStr">
        <is>
          <t>rep3</t>
        </is>
      </c>
      <c r="D46" s="9" t="inlineStr">
        <is>
          <t>Control</t>
        </is>
      </c>
      <c r="E46" s="9" t="inlineStr">
        <is>
          <t>Sheet1!K8</t>
        </is>
      </c>
      <c r="F46" s="10" t="n">
        <v>9896</v>
      </c>
      <c r="G46" s="9" t="inlineStr">
        <is>
          <t>rep3/P65核 (3).tif</t>
        </is>
      </c>
      <c r="H46" s="9" t="inlineStr">
        <is>
          <t>唯一主文件；ROI记录待补</t>
        </is>
      </c>
      <c r="I46" s="9" t="inlineStr">
        <is>
          <t>灰度值逐格转录；具体 ROI 与背景扣除参数未归档</t>
        </is>
      </c>
    </row>
    <row r="47" ht="30" customHeight="1">
      <c r="B47" s="9" t="inlineStr">
        <is>
          <t>Nuclear p65</t>
        </is>
      </c>
      <c r="C47" s="9" t="inlineStr">
        <is>
          <t>rep3</t>
        </is>
      </c>
      <c r="D47" s="9" t="inlineStr">
        <is>
          <t>HKSA+Baicalein</t>
        </is>
      </c>
      <c r="E47" s="9" t="inlineStr">
        <is>
          <t>Sheet1!L8</t>
        </is>
      </c>
      <c r="F47" s="10" t="n">
        <v>19651</v>
      </c>
      <c r="G47" s="9" t="inlineStr">
        <is>
          <t>rep3/P65核 (3).tif</t>
        </is>
      </c>
      <c r="H47" s="9" t="inlineStr">
        <is>
          <t>唯一主文件；ROI记录待补</t>
        </is>
      </c>
      <c r="I47" s="9" t="inlineStr">
        <is>
          <t>灰度值逐格转录；具体 ROI 与背景扣除参数未归档</t>
        </is>
      </c>
    </row>
    <row r="48" ht="30" customHeight="1">
      <c r="B48" s="9" t="inlineStr">
        <is>
          <t>Nuclear p65</t>
        </is>
      </c>
      <c r="C48" s="9" t="inlineStr">
        <is>
          <t>rep3</t>
        </is>
      </c>
      <c r="D48" s="9" t="inlineStr">
        <is>
          <t>HKSA</t>
        </is>
      </c>
      <c r="E48" s="9" t="inlineStr">
        <is>
          <t>Sheet1!M8</t>
        </is>
      </c>
      <c r="F48" s="10" t="n">
        <v>41995</v>
      </c>
      <c r="G48" s="9" t="inlineStr">
        <is>
          <t>rep3/P65核 (3).tif</t>
        </is>
      </c>
      <c r="H48" s="9" t="inlineStr">
        <is>
          <t>唯一主文件；ROI记录待补</t>
        </is>
      </c>
      <c r="I48" s="9" t="inlineStr">
        <is>
          <t>灰度值逐格转录；具体 ROI 与背景扣除参数未归档</t>
        </is>
      </c>
    </row>
    <row r="49" ht="30" customHeight="1">
      <c r="B49" s="9" t="inlineStr">
        <is>
          <t>Cytoplasmic p65</t>
        </is>
      </c>
      <c r="C49" s="9" t="inlineStr">
        <is>
          <t>rep1</t>
        </is>
      </c>
      <c r="D49" s="9" t="inlineStr">
        <is>
          <t>Control</t>
        </is>
      </c>
      <c r="E49" s="9" t="inlineStr">
        <is>
          <t>Sheet1!C9</t>
        </is>
      </c>
      <c r="F49" s="10" t="n">
        <v>44166</v>
      </c>
      <c r="G49" s="9" t="inlineStr">
        <is>
          <t>rep1/P65质 (1).tif</t>
        </is>
      </c>
      <c r="H49" s="9" t="inlineStr">
        <is>
          <t>唯一主文件；ROI记录待补</t>
        </is>
      </c>
      <c r="I49" s="9" t="inlineStr">
        <is>
          <t>灰度值逐格转录；具体 ROI 与背景扣除参数未归档</t>
        </is>
      </c>
    </row>
    <row r="50" ht="30" customHeight="1">
      <c r="B50" s="9" t="inlineStr">
        <is>
          <t>Cytoplasmic p65</t>
        </is>
      </c>
      <c r="C50" s="9" t="inlineStr">
        <is>
          <t>rep1</t>
        </is>
      </c>
      <c r="D50" s="9" t="inlineStr">
        <is>
          <t>HKSA+Baicalein</t>
        </is>
      </c>
      <c r="E50" s="9" t="inlineStr">
        <is>
          <t>Sheet1!D9</t>
        </is>
      </c>
      <c r="F50" s="10" t="n">
        <v>19074</v>
      </c>
      <c r="G50" s="9" t="inlineStr">
        <is>
          <t>rep1/P65质 (1).tif</t>
        </is>
      </c>
      <c r="H50" s="9" t="inlineStr">
        <is>
          <t>唯一主文件；ROI记录待补</t>
        </is>
      </c>
      <c r="I50" s="9" t="inlineStr">
        <is>
          <t>灰度值逐格转录；具体 ROI 与背景扣除参数未归档</t>
        </is>
      </c>
    </row>
    <row r="51" ht="30" customHeight="1">
      <c r="B51" s="9" t="inlineStr">
        <is>
          <t>Cytoplasmic p65</t>
        </is>
      </c>
      <c r="C51" s="9" t="inlineStr">
        <is>
          <t>rep1</t>
        </is>
      </c>
      <c r="D51" s="9" t="inlineStr">
        <is>
          <t>HKSA</t>
        </is>
      </c>
      <c r="E51" s="9" t="inlineStr">
        <is>
          <t>Sheet1!E9</t>
        </is>
      </c>
      <c r="F51" s="10" t="n">
        <v>11473</v>
      </c>
      <c r="G51" s="9" t="inlineStr">
        <is>
          <t>rep1/P65质 (1).tif</t>
        </is>
      </c>
      <c r="H51" s="9" t="inlineStr">
        <is>
          <t>唯一主文件；ROI记录待补</t>
        </is>
      </c>
      <c r="I51" s="9" t="inlineStr">
        <is>
          <t>灰度值逐格转录；具体 ROI 与背景扣除参数未归档</t>
        </is>
      </c>
    </row>
    <row r="52" ht="30" customHeight="1">
      <c r="B52" s="9" t="inlineStr">
        <is>
          <t>Cytoplasmic p65</t>
        </is>
      </c>
      <c r="C52" s="9" t="inlineStr">
        <is>
          <t>rep2</t>
        </is>
      </c>
      <c r="D52" s="9" t="inlineStr">
        <is>
          <t>Control</t>
        </is>
      </c>
      <c r="E52" s="9" t="inlineStr">
        <is>
          <t>Sheet1!G9</t>
        </is>
      </c>
      <c r="F52" s="10" t="n">
        <v>41198</v>
      </c>
      <c r="G52" s="9" t="inlineStr">
        <is>
          <t>rep2/P65质 (2).tif</t>
        </is>
      </c>
      <c r="H52" s="9" t="inlineStr">
        <is>
          <t>唯一主文件；ROI记录待补</t>
        </is>
      </c>
      <c r="I52" s="9" t="inlineStr">
        <is>
          <t>灰度值逐格转录；具体 ROI 与背景扣除参数未归档</t>
        </is>
      </c>
    </row>
    <row r="53" ht="30" customHeight="1">
      <c r="B53" s="9" t="inlineStr">
        <is>
          <t>Cytoplasmic p65</t>
        </is>
      </c>
      <c r="C53" s="9" t="inlineStr">
        <is>
          <t>rep2</t>
        </is>
      </c>
      <c r="D53" s="9" t="inlineStr">
        <is>
          <t>HKSA+Baicalein</t>
        </is>
      </c>
      <c r="E53" s="9" t="inlineStr">
        <is>
          <t>Sheet1!H9</t>
        </is>
      </c>
      <c r="F53" s="10" t="n">
        <v>20576</v>
      </c>
      <c r="G53" s="9" t="inlineStr">
        <is>
          <t>rep2/P65质 (2).tif</t>
        </is>
      </c>
      <c r="H53" s="9" t="inlineStr">
        <is>
          <t>唯一主文件；ROI记录待补</t>
        </is>
      </c>
      <c r="I53" s="9" t="inlineStr">
        <is>
          <t>灰度值逐格转录；具体 ROI 与背景扣除参数未归档</t>
        </is>
      </c>
    </row>
    <row r="54" ht="30" customHeight="1">
      <c r="B54" s="9" t="inlineStr">
        <is>
          <t>Cytoplasmic p65</t>
        </is>
      </c>
      <c r="C54" s="9" t="inlineStr">
        <is>
          <t>rep2</t>
        </is>
      </c>
      <c r="D54" s="9" t="inlineStr">
        <is>
          <t>HKSA</t>
        </is>
      </c>
      <c r="E54" s="9" t="inlineStr">
        <is>
          <t>Sheet1!I9</t>
        </is>
      </c>
      <c r="F54" s="10" t="n">
        <v>10113</v>
      </c>
      <c r="G54" s="9" t="inlineStr">
        <is>
          <t>rep2/P65质 (2).tif</t>
        </is>
      </c>
      <c r="H54" s="9" t="inlineStr">
        <is>
          <t>唯一主文件；ROI记录待补</t>
        </is>
      </c>
      <c r="I54" s="9" t="inlineStr">
        <is>
          <t>灰度值逐格转录；具体 ROI 与背景扣除参数未归档</t>
        </is>
      </c>
    </row>
    <row r="55" ht="30" customHeight="1">
      <c r="B55" s="9" t="inlineStr">
        <is>
          <t>Cytoplasmic p65</t>
        </is>
      </c>
      <c r="C55" s="9" t="inlineStr">
        <is>
          <t>rep3</t>
        </is>
      </c>
      <c r="D55" s="9" t="inlineStr">
        <is>
          <t>Control</t>
        </is>
      </c>
      <c r="E55" s="9" t="inlineStr">
        <is>
          <t>Sheet1!K9</t>
        </is>
      </c>
      <c r="F55" s="10" t="n">
        <v>40066</v>
      </c>
      <c r="G55" s="9" t="inlineStr">
        <is>
          <t>rep3/P65质 (3).tif</t>
        </is>
      </c>
      <c r="H55" s="9" t="inlineStr">
        <is>
          <t>唯一主文件；ROI记录待补</t>
        </is>
      </c>
      <c r="I55" s="9" t="inlineStr">
        <is>
          <t>灰度值逐格转录；具体 ROI 与背景扣除参数未归档</t>
        </is>
      </c>
    </row>
    <row r="56" ht="30" customHeight="1">
      <c r="B56" s="9" t="inlineStr">
        <is>
          <t>Cytoplasmic p65</t>
        </is>
      </c>
      <c r="C56" s="9" t="inlineStr">
        <is>
          <t>rep3</t>
        </is>
      </c>
      <c r="D56" s="9" t="inlineStr">
        <is>
          <t>HKSA+Baicalein</t>
        </is>
      </c>
      <c r="E56" s="9" t="inlineStr">
        <is>
          <t>Sheet1!L9</t>
        </is>
      </c>
      <c r="F56" s="10" t="n">
        <v>18462</v>
      </c>
      <c r="G56" s="9" t="inlineStr">
        <is>
          <t>rep3/P65质 (3).tif</t>
        </is>
      </c>
      <c r="H56" s="9" t="inlineStr">
        <is>
          <t>唯一主文件；ROI记录待补</t>
        </is>
      </c>
      <c r="I56" s="9" t="inlineStr">
        <is>
          <t>灰度值逐格转录；具体 ROI 与背景扣除参数未归档</t>
        </is>
      </c>
    </row>
    <row r="57" ht="30" customHeight="1">
      <c r="B57" s="9" t="inlineStr">
        <is>
          <t>Cytoplasmic p65</t>
        </is>
      </c>
      <c r="C57" s="9" t="inlineStr">
        <is>
          <t>rep3</t>
        </is>
      </c>
      <c r="D57" s="9" t="inlineStr">
        <is>
          <t>HKSA</t>
        </is>
      </c>
      <c r="E57" s="9" t="inlineStr">
        <is>
          <t>Sheet1!M9</t>
        </is>
      </c>
      <c r="F57" s="10" t="n">
        <v>11061</v>
      </c>
      <c r="G57" s="9" t="inlineStr">
        <is>
          <t>rep3/P65质 (3).tif</t>
        </is>
      </c>
      <c r="H57" s="9" t="inlineStr">
        <is>
          <t>唯一主文件；ROI记录待补</t>
        </is>
      </c>
      <c r="I57" s="9" t="inlineStr">
        <is>
          <t>灰度值逐格转录；具体 ROI 与背景扣除参数未归档</t>
        </is>
      </c>
    </row>
    <row r="58" ht="30" customHeight="1">
      <c r="B58" s="9" t="inlineStr">
        <is>
          <t>β-actin</t>
        </is>
      </c>
      <c r="C58" s="9" t="inlineStr">
        <is>
          <t>rep1</t>
        </is>
      </c>
      <c r="D58" s="9" t="inlineStr">
        <is>
          <t>Control</t>
        </is>
      </c>
      <c r="E58" s="9" t="inlineStr">
        <is>
          <t>Sheet1!C10</t>
        </is>
      </c>
      <c r="F58" s="10" t="n">
        <v>44532</v>
      </c>
      <c r="G58" s="9" t="inlineStr">
        <is>
          <t>rep1/actin (1).tif</t>
        </is>
      </c>
      <c r="H58" s="9" t="inlineStr">
        <is>
          <t>唯一主文件；ROI记录待补</t>
        </is>
      </c>
      <c r="I58" s="9" t="inlineStr">
        <is>
          <t>灰度值逐格转录；具体 ROI 与背景扣除参数未归档</t>
        </is>
      </c>
    </row>
    <row r="59" ht="30" customHeight="1">
      <c r="B59" s="9" t="inlineStr">
        <is>
          <t>β-actin</t>
        </is>
      </c>
      <c r="C59" s="9" t="inlineStr">
        <is>
          <t>rep1</t>
        </is>
      </c>
      <c r="D59" s="9" t="inlineStr">
        <is>
          <t>HKSA+Baicalein</t>
        </is>
      </c>
      <c r="E59" s="9" t="inlineStr">
        <is>
          <t>Sheet1!D10</t>
        </is>
      </c>
      <c r="F59" s="10" t="n">
        <v>41336</v>
      </c>
      <c r="G59" s="9" t="inlineStr">
        <is>
          <t>rep1/actin (1).tif</t>
        </is>
      </c>
      <c r="H59" s="9" t="inlineStr">
        <is>
          <t>唯一主文件；ROI记录待补</t>
        </is>
      </c>
      <c r="I59" s="9" t="inlineStr">
        <is>
          <t>灰度值逐格转录；具体 ROI 与背景扣除参数未归档</t>
        </is>
      </c>
    </row>
    <row r="60" ht="30" customHeight="1">
      <c r="B60" s="9" t="inlineStr">
        <is>
          <t>β-actin</t>
        </is>
      </c>
      <c r="C60" s="9" t="inlineStr">
        <is>
          <t>rep1</t>
        </is>
      </c>
      <c r="D60" s="9" t="inlineStr">
        <is>
          <t>HKSA</t>
        </is>
      </c>
      <c r="E60" s="9" t="inlineStr">
        <is>
          <t>Sheet1!E10</t>
        </is>
      </c>
      <c r="F60" s="10" t="n">
        <v>42138</v>
      </c>
      <c r="G60" s="9" t="inlineStr">
        <is>
          <t>rep1/actin (1).tif</t>
        </is>
      </c>
      <c r="H60" s="9" t="inlineStr">
        <is>
          <t>唯一主文件；ROI记录待补</t>
        </is>
      </c>
      <c r="I60" s="9" t="inlineStr">
        <is>
          <t>灰度值逐格转录；具体 ROI 与背景扣除参数未归档</t>
        </is>
      </c>
    </row>
    <row r="61" ht="30" customHeight="1">
      <c r="B61" s="9" t="inlineStr">
        <is>
          <t>β-actin</t>
        </is>
      </c>
      <c r="C61" s="9" t="inlineStr">
        <is>
          <t>rep2</t>
        </is>
      </c>
      <c r="D61" s="9" t="inlineStr">
        <is>
          <t>Control</t>
        </is>
      </c>
      <c r="E61" s="9" t="inlineStr">
        <is>
          <t>Sheet1!G10</t>
        </is>
      </c>
      <c r="F61" s="10" t="n">
        <v>45481</v>
      </c>
      <c r="G61" s="9" t="inlineStr">
        <is>
          <t>rep2/actin (2).tif</t>
        </is>
      </c>
      <c r="H61" s="9" t="inlineStr">
        <is>
          <t>唯一主文件；ROI记录待补</t>
        </is>
      </c>
      <c r="I61" s="9" t="inlineStr">
        <is>
          <t>灰度值逐格转录；具体 ROI 与背景扣除参数未归档</t>
        </is>
      </c>
    </row>
    <row r="62" ht="30" customHeight="1">
      <c r="B62" s="9" t="inlineStr">
        <is>
          <t>β-actin</t>
        </is>
      </c>
      <c r="C62" s="9" t="inlineStr">
        <is>
          <t>rep2</t>
        </is>
      </c>
      <c r="D62" s="9" t="inlineStr">
        <is>
          <t>HKSA+Baicalein</t>
        </is>
      </c>
      <c r="E62" s="9" t="inlineStr">
        <is>
          <t>Sheet1!H10</t>
        </is>
      </c>
      <c r="F62" s="10" t="n">
        <v>43657</v>
      </c>
      <c r="G62" s="9" t="inlineStr">
        <is>
          <t>rep2/actin (2).tif</t>
        </is>
      </c>
      <c r="H62" s="9" t="inlineStr">
        <is>
          <t>唯一主文件；ROI记录待补</t>
        </is>
      </c>
      <c r="I62" s="9" t="inlineStr">
        <is>
          <t>灰度值逐格转录；具体 ROI 与背景扣除参数未归档</t>
        </is>
      </c>
    </row>
    <row r="63" ht="30" customHeight="1">
      <c r="B63" s="9" t="inlineStr">
        <is>
          <t>β-actin</t>
        </is>
      </c>
      <c r="C63" s="9" t="inlineStr">
        <is>
          <t>rep2</t>
        </is>
      </c>
      <c r="D63" s="9" t="inlineStr">
        <is>
          <t>HKSA</t>
        </is>
      </c>
      <c r="E63" s="9" t="inlineStr">
        <is>
          <t>Sheet1!I10</t>
        </is>
      </c>
      <c r="F63" s="10" t="n">
        <v>42415</v>
      </c>
      <c r="G63" s="9" t="inlineStr">
        <is>
          <t>rep2/actin (2).tif</t>
        </is>
      </c>
      <c r="H63" s="9" t="inlineStr">
        <is>
          <t>唯一主文件；ROI记录待补</t>
        </is>
      </c>
      <c r="I63" s="9" t="inlineStr">
        <is>
          <t>灰度值逐格转录；具体 ROI 与背景扣除参数未归档</t>
        </is>
      </c>
    </row>
    <row r="64" ht="30" customHeight="1">
      <c r="B64" s="9" t="inlineStr">
        <is>
          <t>β-actin</t>
        </is>
      </c>
      <c r="C64" s="9" t="inlineStr">
        <is>
          <t>rep3</t>
        </is>
      </c>
      <c r="D64" s="9" t="inlineStr">
        <is>
          <t>Control</t>
        </is>
      </c>
      <c r="E64" s="9" t="inlineStr">
        <is>
          <t>Sheet1!K10</t>
        </is>
      </c>
      <c r="F64" s="10" t="n">
        <v>41890</v>
      </c>
      <c r="G64" s="9" t="inlineStr">
        <is>
          <t>rep3/actin (3).tif</t>
        </is>
      </c>
      <c r="H64" s="9" t="inlineStr">
        <is>
          <t>唯一主文件；ROI记录待补</t>
        </is>
      </c>
      <c r="I64" s="9" t="inlineStr">
        <is>
          <t>灰度值逐格转录；具体 ROI 与背景扣除参数未归档</t>
        </is>
      </c>
    </row>
    <row r="65" ht="30" customHeight="1">
      <c r="B65" s="9" t="inlineStr">
        <is>
          <t>β-actin</t>
        </is>
      </c>
      <c r="C65" s="9" t="inlineStr">
        <is>
          <t>rep3</t>
        </is>
      </c>
      <c r="D65" s="9" t="inlineStr">
        <is>
          <t>HKSA+Baicalein</t>
        </is>
      </c>
      <c r="E65" s="9" t="inlineStr">
        <is>
          <t>Sheet1!L10</t>
        </is>
      </c>
      <c r="F65" s="10" t="n">
        <v>41255</v>
      </c>
      <c r="G65" s="9" t="inlineStr">
        <is>
          <t>rep3/actin (3).tif</t>
        </is>
      </c>
      <c r="H65" s="9" t="inlineStr">
        <is>
          <t>唯一主文件；ROI记录待补</t>
        </is>
      </c>
      <c r="I65" s="9" t="inlineStr">
        <is>
          <t>灰度值逐格转录；具体 ROI 与背景扣除参数未归档</t>
        </is>
      </c>
    </row>
    <row r="66" ht="30" customHeight="1">
      <c r="B66" s="9" t="inlineStr">
        <is>
          <t>β-actin</t>
        </is>
      </c>
      <c r="C66" s="9" t="inlineStr">
        <is>
          <t>rep3</t>
        </is>
      </c>
      <c r="D66" s="9" t="inlineStr">
        <is>
          <t>HKSA</t>
        </is>
      </c>
      <c r="E66" s="9" t="inlineStr">
        <is>
          <t>Sheet1!M10</t>
        </is>
      </c>
      <c r="F66" s="10" t="n">
        <v>40185</v>
      </c>
      <c r="G66" s="9" t="inlineStr">
        <is>
          <t>rep3/actin (3).tif</t>
        </is>
      </c>
      <c r="H66" s="9" t="inlineStr">
        <is>
          <t>唯一主文件；ROI记录待补</t>
        </is>
      </c>
      <c r="I66" s="9" t="inlineStr">
        <is>
          <t>灰度值逐格转录；具体 ROI 与背景扣除参数未归档</t>
        </is>
      </c>
    </row>
  </sheetData>
  <autoFilter ref="B3:I66"/>
  <mergeCells count="2">
    <mergeCell ref="B1:I1"/>
    <mergeCell ref="B2:I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1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3" customWidth="1" min="3" max="3"/>
    <col width="35" customWidth="1" min="4" max="4"/>
    <col width="32" customWidth="1" min="5" max="5"/>
    <col width="21" customWidth="1" min="6" max="6"/>
    <col width="20" customWidth="1" min="7" max="7"/>
    <col width="25" customWidth="1" min="8" max="8"/>
    <col width="25" customWidth="1" min="9" max="9"/>
    <col width="20" customWidth="1" min="10" max="10"/>
    <col width="58" customWidth="1" min="11" max="11"/>
  </cols>
  <sheetData>
    <row r="1" ht="30" customHeight="1">
      <c r="B1" s="1" t="inlineStr">
        <is>
          <t>PPT 与 RAR 来源证据</t>
        </is>
      </c>
    </row>
    <row r="2" ht="28" customHeight="1">
      <c r="B2" s="2" t="inlineStr">
        <is>
          <t>CRC32 用于确认包内条目与本地文件一致；NCC 用于确认 PPT 裁带的图像来源。二者均不替代原始 ImageJ ROI 记录。</t>
        </is>
      </c>
    </row>
    <row r="3" ht="32" customHeight="1">
      <c r="B3" s="8" t="inlineStr">
        <is>
          <t>证据ID</t>
        </is>
      </c>
      <c r="C3" s="8" t="inlineStr">
        <is>
          <t>证据类型</t>
        </is>
      </c>
      <c r="D3" s="8" t="inlineStr">
        <is>
          <t>来源条目</t>
        </is>
      </c>
      <c r="E3" s="8" t="inlineStr">
        <is>
          <t>对应本地文件</t>
        </is>
      </c>
      <c r="F3" s="8" t="inlineStr">
        <is>
          <t>包内时间</t>
        </is>
      </c>
      <c r="G3" s="8" t="inlineStr">
        <is>
          <t>指标</t>
        </is>
      </c>
      <c r="H3" s="8" t="inlineStr">
        <is>
          <t>来源值</t>
        </is>
      </c>
      <c r="I3" s="8" t="inlineStr">
        <is>
          <t>本地值</t>
        </is>
      </c>
      <c r="J3" s="8" t="inlineStr">
        <is>
          <t>结果</t>
        </is>
      </c>
      <c r="K3" s="8" t="inlineStr">
        <is>
          <t>补充说明</t>
        </is>
      </c>
    </row>
    <row r="4" ht="30" customHeight="1">
      <c r="B4" s="9" t="inlineStr">
        <is>
          <t>RAR-01</t>
        </is>
      </c>
      <c r="C4" s="9" t="inlineStr">
        <is>
          <t>044 来源包 CRC32</t>
        </is>
      </c>
      <c r="D4" s="9" t="inlineStr">
        <is>
          <t>2610044/P-P65 (1).tif</t>
        </is>
      </c>
      <c r="E4" s="9" t="inlineStr">
        <is>
          <t>rep1/P-P65 (1).tif</t>
        </is>
      </c>
      <c r="F4" s="9" t="inlineStr">
        <is>
          <t>2026-10-13 11:34:59</t>
        </is>
      </c>
      <c r="G4" s="9" t="inlineStr">
        <is>
          <t>CRC32 / 字节数</t>
        </is>
      </c>
      <c r="H4" s="9" t="inlineStr">
        <is>
          <t>28ddbfd8 / 16981294</t>
        </is>
      </c>
      <c r="I4" s="9" t="inlineStr">
        <is>
          <t>28ddbfd8 / 16981294</t>
        </is>
      </c>
      <c r="J4" s="9" t="inlineStr">
        <is>
          <t>一致</t>
        </is>
      </c>
      <c r="K4" s="9" t="inlineStr">
        <is>
          <t>同时与 044.pptx 打包于 10144(1).rar</t>
        </is>
      </c>
    </row>
    <row r="5" ht="30" customHeight="1">
      <c r="B5" s="9" t="inlineStr">
        <is>
          <t>RAR-02</t>
        </is>
      </c>
      <c r="C5" s="9" t="inlineStr">
        <is>
          <t>044 来源包 CRC32</t>
        </is>
      </c>
      <c r="D5" s="9" t="inlineStr">
        <is>
          <t>2610044/P-P65 (2).tif</t>
        </is>
      </c>
      <c r="E5" s="9" t="inlineStr">
        <is>
          <t>rep2/P-P65 (2).tif</t>
        </is>
      </c>
      <c r="F5" s="9" t="inlineStr">
        <is>
          <t>2026-10-13 11:35:00</t>
        </is>
      </c>
      <c r="G5" s="9" t="inlineStr">
        <is>
          <t>CRC32 / 字节数</t>
        </is>
      </c>
      <c r="H5" s="9" t="inlineStr">
        <is>
          <t>c9f4566b / 13894434</t>
        </is>
      </c>
      <c r="I5" s="9" t="inlineStr">
        <is>
          <t>c9f4566b / 13894434</t>
        </is>
      </c>
      <c r="J5" s="9" t="inlineStr">
        <is>
          <t>一致</t>
        </is>
      </c>
      <c r="K5" s="9" t="inlineStr">
        <is>
          <t>同时与 044.pptx 打包于 10144(1).rar</t>
        </is>
      </c>
    </row>
    <row r="6" ht="30" customHeight="1">
      <c r="B6" s="9" t="inlineStr">
        <is>
          <t>RAR-03</t>
        </is>
      </c>
      <c r="C6" s="9" t="inlineStr">
        <is>
          <t>044 来源包 CRC32</t>
        </is>
      </c>
      <c r="D6" s="9" t="inlineStr">
        <is>
          <t>2610044/P-P65 (3).tif</t>
        </is>
      </c>
      <c r="E6" s="9" t="inlineStr">
        <is>
          <t>rep3/P-P65 (3).tif</t>
        </is>
      </c>
      <c r="F6" s="9" t="inlineStr">
        <is>
          <t>2026-10-13 11:35:00</t>
        </is>
      </c>
      <c r="G6" s="9" t="inlineStr">
        <is>
          <t>CRC32 / 字节数</t>
        </is>
      </c>
      <c r="H6" s="9" t="inlineStr">
        <is>
          <t>7c58b470 / 13894434</t>
        </is>
      </c>
      <c r="I6" s="9" t="inlineStr">
        <is>
          <t>7c58b470 / 13894434</t>
        </is>
      </c>
      <c r="J6" s="9" t="inlineStr">
        <is>
          <t>一致</t>
        </is>
      </c>
      <c r="K6" s="9" t="inlineStr">
        <is>
          <t>同时与 044.pptx 打包于 10144(1).rar</t>
        </is>
      </c>
    </row>
    <row r="7" ht="30" customHeight="1">
      <c r="B7" s="9" t="inlineStr">
        <is>
          <t>RAR-04</t>
        </is>
      </c>
      <c r="C7" s="9" t="inlineStr">
        <is>
          <t>044 来源包 CRC32</t>
        </is>
      </c>
      <c r="D7" s="9" t="inlineStr">
        <is>
          <t>2610044/P65 (1).tif</t>
        </is>
      </c>
      <c r="E7" s="9" t="inlineStr">
        <is>
          <t>rep1/P65 (1).tif</t>
        </is>
      </c>
      <c r="F7" s="9" t="inlineStr">
        <is>
          <t>2026-10-13 11:35:00</t>
        </is>
      </c>
      <c r="G7" s="9" t="inlineStr">
        <is>
          <t>CRC32 / 字节数</t>
        </is>
      </c>
      <c r="H7" s="9" t="inlineStr">
        <is>
          <t>11d88301 / 13894434</t>
        </is>
      </c>
      <c r="I7" s="9" t="inlineStr">
        <is>
          <t>11d88301 / 13894434</t>
        </is>
      </c>
      <c r="J7" s="9" t="inlineStr">
        <is>
          <t>一致</t>
        </is>
      </c>
      <c r="K7" s="9" t="inlineStr">
        <is>
          <t>同时与 044.pptx 打包于 10144(1).rar</t>
        </is>
      </c>
    </row>
    <row r="8" ht="30" customHeight="1">
      <c r="B8" s="9" t="inlineStr">
        <is>
          <t>RAR-05</t>
        </is>
      </c>
      <c r="C8" s="9" t="inlineStr">
        <is>
          <t>044 来源包 CRC32</t>
        </is>
      </c>
      <c r="D8" s="9" t="inlineStr">
        <is>
          <t>2610044/P65 (2).tif</t>
        </is>
      </c>
      <c r="E8" s="9" t="inlineStr">
        <is>
          <t>rep2/P65 (2).tif</t>
        </is>
      </c>
      <c r="F8" s="9" t="inlineStr">
        <is>
          <t>2026-10-13 11:35:00</t>
        </is>
      </c>
      <c r="G8" s="9" t="inlineStr">
        <is>
          <t>CRC32 / 字节数</t>
        </is>
      </c>
      <c r="H8" s="9" t="inlineStr">
        <is>
          <t>f2319585 / 13894434</t>
        </is>
      </c>
      <c r="I8" s="9" t="inlineStr">
        <is>
          <t>f2319585 / 13894434</t>
        </is>
      </c>
      <c r="J8" s="9" t="inlineStr">
        <is>
          <t>一致</t>
        </is>
      </c>
      <c r="K8" s="9" t="inlineStr">
        <is>
          <t>同时与 044.pptx 打包于 10144(1).rar</t>
        </is>
      </c>
    </row>
    <row r="9" ht="30" customHeight="1">
      <c r="B9" s="9" t="inlineStr">
        <is>
          <t>RAR-06</t>
        </is>
      </c>
      <c r="C9" s="9" t="inlineStr">
        <is>
          <t>044 来源包 CRC32</t>
        </is>
      </c>
      <c r="D9" s="9" t="inlineStr">
        <is>
          <t>2610044/P65 (3).tif</t>
        </is>
      </c>
      <c r="E9" s="9" t="inlineStr">
        <is>
          <t>rep3/P65 (3).tif</t>
        </is>
      </c>
      <c r="F9" s="9" t="inlineStr">
        <is>
          <t>2026-10-13 11:35:00</t>
        </is>
      </c>
      <c r="G9" s="9" t="inlineStr">
        <is>
          <t>CRC32 / 字节数</t>
        </is>
      </c>
      <c r="H9" s="9" t="inlineStr">
        <is>
          <t>540a644d / 16302334</t>
        </is>
      </c>
      <c r="I9" s="9" t="inlineStr">
        <is>
          <t>540a644d / 16302334</t>
        </is>
      </c>
      <c r="J9" s="9" t="inlineStr">
        <is>
          <t>一致</t>
        </is>
      </c>
      <c r="K9" s="9" t="inlineStr">
        <is>
          <t>同时与 044.pptx 打包于 10144(1).rar</t>
        </is>
      </c>
    </row>
    <row r="10" ht="30" customHeight="1">
      <c r="B10" s="9" t="inlineStr">
        <is>
          <t>PPT-01</t>
        </is>
      </c>
      <c r="C10" s="9" t="inlineStr">
        <is>
          <t>PPT 裁带模板匹配</t>
        </is>
      </c>
      <c r="D10" s="9" t="inlineStr">
        <is>
          <t>044.pptx / ppt/media/image1.png</t>
        </is>
      </c>
      <c r="E10" s="9" t="inlineStr">
        <is>
          <t>rep1/P-P65 (1).tif</t>
        </is>
      </c>
      <c r="F10" s="9" t="n"/>
      <c r="G10" s="9" t="inlineStr">
        <is>
          <t>Zero-mean NCC</t>
        </is>
      </c>
      <c r="H10" s="9" t="n"/>
      <c r="I10" s="9" t="n">
        <v>0.996505</v>
      </c>
      <c r="J10" s="9" t="inlineStr">
        <is>
          <t>图像对应确认</t>
        </is>
      </c>
      <c r="K10" s="9" t="inlineStr">
        <is>
          <t>同名次优候选 rep1/P-P65.tif，NCC=0.831498；匹配尺度=2.8433</t>
        </is>
      </c>
    </row>
    <row r="11" ht="30" customHeight="1">
      <c r="B11" s="9" t="inlineStr">
        <is>
          <t>PPT-02</t>
        </is>
      </c>
      <c r="C11" s="9" t="inlineStr">
        <is>
          <t>PPT 裁带模板匹配</t>
        </is>
      </c>
      <c r="D11" s="9" t="inlineStr">
        <is>
          <t>044.pptx / ppt/media/image4.png</t>
        </is>
      </c>
      <c r="E11" s="9" t="inlineStr">
        <is>
          <t>rep1/P65 (1).tif</t>
        </is>
      </c>
      <c r="F11" s="9" t="n"/>
      <c r="G11" s="9" t="inlineStr">
        <is>
          <t>Zero-mean NCC</t>
        </is>
      </c>
      <c r="H11" s="9" t="n"/>
      <c r="I11" s="9" t="n">
        <v>0.998103</v>
      </c>
      <c r="J11" s="9" t="inlineStr">
        <is>
          <t>图像对应确认</t>
        </is>
      </c>
      <c r="K11" s="9" t="inlineStr">
        <is>
          <t>同名次优候选 rep1/P65.tif，NCC=0.949940；匹配尺度=2.8433</t>
        </is>
      </c>
    </row>
  </sheetData>
  <autoFilter ref="B3:K11"/>
  <mergeCells count="2">
    <mergeCell ref="B1:K1"/>
    <mergeCell ref="B2:K2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D1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5" customWidth="1" min="2" max="2"/>
    <col width="92" customWidth="1" min="3" max="3"/>
    <col width="76" customWidth="1" min="4" max="4"/>
  </cols>
  <sheetData>
    <row r="1" ht="30" customHeight="1">
      <c r="B1" s="1" t="inlineStr">
        <is>
          <t>来源文件与状态定义</t>
        </is>
      </c>
    </row>
    <row r="2" ht="28" customHeight="1">
      <c r="B2" s="2" t="inlineStr">
        <is>
          <t>本工作簿只解决 Source Data 文件对应与可追溯性，不重算 WB 比率、统计或图件。</t>
        </is>
      </c>
    </row>
    <row r="3" ht="32" customHeight="1">
      <c r="B3" s="8" t="inlineStr">
        <is>
          <t>项目</t>
        </is>
      </c>
      <c r="C3" s="8" t="inlineStr">
        <is>
          <t>相对路径／说明</t>
        </is>
      </c>
      <c r="D3" s="8" t="inlineStr">
        <is>
          <t>SHA-256／口径</t>
        </is>
      </c>
    </row>
    <row r="4" ht="30" customHeight="1">
      <c r="B4" s="9" t="inlineStr">
        <is>
          <t>灰度工作簿</t>
        </is>
      </c>
      <c r="C4" s="9" t="inlineStr">
        <is>
          <t>06_source_material/wetlab_wb_raw_20261030/10.14灰度值(1).xlsx</t>
        </is>
      </c>
      <c r="D4" s="9" t="inlineStr">
        <is>
          <t>c485c61e61cfc0aa27d7dbb23b74172a9c00f44f3330ba9fcb537feab9b5a70e</t>
        </is>
      </c>
    </row>
    <row r="5" ht="30" customHeight="1">
      <c r="B5" s="9" t="inlineStr">
        <is>
          <t>044 PPT</t>
        </is>
      </c>
      <c r="C5" s="9" t="inlineStr">
        <is>
          <t>06_source_material/wetlab_wb_raw_20261030/044.pptx</t>
        </is>
      </c>
      <c r="D5" s="9" t="inlineStr">
        <is>
          <t>c56f02fd153ea6a4a4d2a5eea0e049bb4c97858868c3063c387c43f5de2cd640</t>
        </is>
      </c>
    </row>
    <row r="6" ht="30" customHeight="1">
      <c r="B6" s="9" t="inlineStr">
        <is>
          <t>044 来源包</t>
        </is>
      </c>
      <c r="C6" s="9" t="inlineStr">
        <is>
          <t>06_source_material/wetlab_wb_raw_20261030/10144(1).rar</t>
        </is>
      </c>
      <c r="D6" s="9" t="inlineStr">
        <is>
          <t>abd8d9cc8b42d0f5d9ec941a32b73d2b9f8fa303edc0c3f88abf1e051d1ed6cc</t>
        </is>
      </c>
    </row>
    <row r="7" ht="30" customHeight="1">
      <c r="B7" s="9" t="inlineStr">
        <is>
          <t>其余条带 PPT</t>
        </is>
      </c>
      <c r="C7" s="9" t="inlineStr">
        <is>
          <t>06_source_material/wetlab_wb_raw_20261030/022.pptx</t>
        </is>
      </c>
      <c r="D7" s="9" t="inlineStr">
        <is>
          <t>9bf77e98b4a8105bdf7b6946e001b0a10787d170e0ccd394bbc5125021eab0de</t>
        </is>
      </c>
    </row>
    <row r="8" ht="30" customHeight="1">
      <c r="B8" s="9" t="inlineStr">
        <is>
          <t>图像分析记录</t>
        </is>
      </c>
      <c r="C8" s="9" t="inlineStr">
        <is>
          <t>07_audit/wb_source_mapping/image_provenance_analysis.json</t>
        </is>
      </c>
      <c r="D8" s="9" t="inlineStr">
        <is>
          <t>f8d956897d84c416eaeabdb38ef33795e58ffdf39542bddabb9995ec043f9791</t>
        </is>
      </c>
    </row>
    <row r="9" ht="30" customHeight="1">
      <c r="B9" s="9" t="inlineStr">
        <is>
          <t>分组顺序</t>
        </is>
      </c>
      <c r="C9" s="9" t="inlineStr">
        <is>
          <t>rep1=C:E；rep2=G:I；rep3=K:M</t>
        </is>
      </c>
      <c r="D9" s="9" t="inlineStr">
        <is>
          <t>Control / HKSA+Baicalein / HKSA</t>
        </is>
      </c>
    </row>
    <row r="10" ht="30" customHeight="1">
      <c r="B10" s="9" t="inlineStr">
        <is>
          <t>内参</t>
        </is>
      </c>
      <c r="C10" s="9" t="inlineStr">
        <is>
          <t>原始表 actin 行；稿件与本清单统一为 β-actin</t>
        </is>
      </c>
      <c r="D10" s="9" t="inlineStr">
        <is>
          <t>不改写为 GAPDH</t>
        </is>
      </c>
    </row>
    <row r="11" ht="30" customHeight="1">
      <c r="B11" s="9" t="inlineStr">
        <is>
          <t>主用文件确认</t>
        </is>
      </c>
      <c r="C11" s="9" t="inlineStr">
        <is>
          <t>044 来源包内 6 个 p65／p-p65 TIFF，或其他重复／靶标的唯一全膜</t>
        </is>
      </c>
      <c r="D11" s="9" t="inlineStr">
        <is>
          <t>文件级对应；不代表 ROI 级复现</t>
        </is>
      </c>
    </row>
    <row r="12" ht="30" customHeight="1">
      <c r="B12" s="9" t="inlineStr">
        <is>
          <t>备选版本</t>
        </is>
      </c>
      <c r="C12" s="9" t="inlineStr">
        <is>
          <t>未进入 044 来源包的同名 p65／p-p65 文件</t>
        </is>
      </c>
      <c r="D12" s="9" t="inlineStr">
        <is>
          <t>保留归档；不作现稿灰度来源指认</t>
        </is>
      </c>
    </row>
    <row r="13" ht="30" customHeight="1">
      <c r="B13" s="9" t="inlineStr">
        <is>
          <t>定量追溯</t>
        </is>
      </c>
      <c r="C13" s="9" t="inlineStr">
        <is>
          <t>当前归档未发现 ImageJ ROI 集、测量输出或背景扣除记录</t>
        </is>
      </c>
      <c r="D13" s="9" t="inlineStr">
        <is>
          <t>需原始记录才能完成 ROI 级确证</t>
        </is>
      </c>
    </row>
    <row r="14" ht="30" customHeight="1">
      <c r="B14" s="9" t="inlineStr">
        <is>
          <t>外部来源 URL</t>
        </is>
      </c>
      <c r="C14" s="9" t="inlineStr">
        <is>
          <t>无；全部使用本地归档原始实验文件</t>
        </is>
      </c>
      <c r="D14" s="9" t="inlineStr">
        <is>
          <t>不引入外部数据</t>
        </is>
      </c>
    </row>
  </sheetData>
  <autoFilter ref="B3:D14"/>
  <mergeCells count="2">
    <mergeCell ref="B1:D1"/>
    <mergeCell ref="B2:D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2026-10-29T17:20:56Z</dcterms:created>
  <dcterms:modified xmlns:dcterms="http://purl.org/dc/terms/" xmlns:xsi="http://www.w3.org/2001/XMLSchema-instance" xsi:type="dcterms:W3CDTF">2026-10-29T17:20:56Z</dcterms:modified>
</cp:coreProperties>
</file>