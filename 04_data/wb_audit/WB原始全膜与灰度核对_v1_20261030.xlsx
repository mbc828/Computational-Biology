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对摘要" sheetId="1" state="visible" r:id="rId1"/>
    <sheet xmlns:r="http://schemas.openxmlformats.org/officeDocument/2006/relationships" name="原始灰度" sheetId="2" state="visible" r:id="rId2"/>
    <sheet xmlns:r="http://schemas.openxmlformats.org/officeDocument/2006/relationships" name="原始单元格映射" sheetId="3" state="visible" r:id="rId3"/>
    <sheet xmlns:r="http://schemas.openxmlformats.org/officeDocument/2006/relationships" name="逐重复计算" sheetId="4" state="visible" r:id="rId4"/>
    <sheet xmlns:r="http://schemas.openxmlformats.org/officeDocument/2006/relationships" name="组均值与SD" sheetId="5" state="visible" r:id="rId5"/>
    <sheet xmlns:r="http://schemas.openxmlformats.org/officeDocument/2006/relationships" name="ANOVA" sheetId="6" state="visible" r:id="rId6"/>
    <sheet xmlns:r="http://schemas.openxmlformats.org/officeDocument/2006/relationships" name="两两比较" sheetId="7" state="visible" r:id="rId7"/>
    <sheet xmlns:r="http://schemas.openxmlformats.org/officeDocument/2006/relationships" name="现稿核对" sheetId="8" state="visible" r:id="rId8"/>
    <sheet xmlns:r="http://schemas.openxmlformats.org/officeDocument/2006/relationships" name="原文件清单" sheetId="9" state="visible" r:id="rId9"/>
    <sheet xmlns:r="http://schemas.openxmlformats.org/officeDocument/2006/relationships" name="来源说明" sheetId="10" state="visible" r:id="rId10"/>
  </sheets>
  <definedNames>
    <definedName name="_xlnm._FilterDatabase" localSheetId="2" hidden="1">'原始单元格映射'!$B$3:$F$66</definedName>
    <definedName name="_xlnm._FilterDatabase" localSheetId="8" hidden="1">'原文件清单'!$B$3:$E$8</definedName>
  </definedNames>
  <calcPr calcMode="auto" fullCalcOnLoad="1" forceFullCalc="1" calcId="124519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0000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244F70"/>
      <sz val="16"/>
    </font>
    <font>
      <name val="Arial"/>
      <b val="1"/>
      <color rgb="00FFFFFF"/>
      <sz val="10"/>
    </font>
    <font>
      <name val="Arial"/>
      <color rgb="0017232D"/>
      <sz val="10"/>
    </font>
    <font>
      <name val="Arial"/>
      <b val="1"/>
      <color rgb="00244F70"/>
    </font>
  </fonts>
  <fills count="3">
    <fill>
      <patternFill/>
    </fill>
    <fill>
      <patternFill patternType="gray125"/>
    </fill>
    <fill>
      <patternFill patternType="solid">
        <fgColor rgb="00244F70"/>
      </patternFill>
    </fill>
  </fills>
  <borders count="3">
    <border>
      <left/>
      <right/>
      <top/>
      <bottom/>
      <diagonal/>
    </border>
    <border>
      <bottom style="medium">
        <color rgb="00244F70"/>
      </bottom>
    </border>
    <border>
      <bottom style="hair">
        <color rgb="00D9DE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6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165" fontId="3" fillId="0" borderId="2" applyAlignment="1" pivotButton="0" quotePrefix="0" xfId="0">
      <alignment vertical="center" wrapText="1"/>
    </xf>
    <xf numFmtId="1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H24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20" customWidth="1" min="5" max="5"/>
    <col width="18" customWidth="1" min="6" max="6"/>
    <col width="18" customWidth="1" min="7" max="7"/>
    <col width="20" customWidth="1" min="8" max="8"/>
  </cols>
  <sheetData>
    <row r="1" ht="28" customHeight="1">
      <c r="B1" s="1" t="inlineStr">
        <is>
          <t>WB 原始全膜与灰度核对摘要</t>
        </is>
      </c>
    </row>
    <row r="3">
      <c r="B3" s="2" t="inlineStr">
        <is>
          <t>数据源</t>
        </is>
      </c>
      <c r="C3" s="3" t="inlineStr">
        <is>
          <t>10.14灰度值(1).xlsx</t>
        </is>
      </c>
    </row>
    <row r="4">
      <c r="B4" s="2" t="inlineStr">
        <is>
          <t>内参</t>
        </is>
      </c>
      <c r="C4" s="3" t="inlineStr">
        <is>
          <t>β-actin（按用户确认沿用；原始表为 actin 行）</t>
        </is>
      </c>
    </row>
    <row r="5">
      <c r="B5" s="2" t="inlineStr">
        <is>
          <t>重复</t>
        </is>
      </c>
      <c r="C5" s="3" t="inlineStr">
        <is>
          <t>rep1／rep2／rep3；每组 n=3</t>
        </is>
      </c>
    </row>
    <row r="6">
      <c r="B6" s="2" t="inlineStr">
        <is>
          <t>分组顺序</t>
        </is>
      </c>
      <c r="C6" s="3" t="inlineStr">
        <is>
          <t>Control／HKSA+Baicalein／HKSA</t>
        </is>
      </c>
    </row>
    <row r="7">
      <c r="B7" s="2" t="inlineStr">
        <is>
          <t>原始全膜</t>
        </is>
      </c>
      <c r="C7" s="3" t="inlineStr">
        <is>
          <t>rep1／rep2／rep3 TIFF 已归档并生成缩略核对图；核对图不用于重新定量</t>
        </is>
      </c>
    </row>
    <row r="8">
      <c r="B8" s="2" t="inlineStr">
        <is>
          <t>核对范围</t>
        </is>
      </c>
      <c r="C8" s="3" t="inlineStr">
        <is>
          <t>由原灰度表重算比率、核占比、均值、样本 SD 与 ANOVA/Bonferroni；未重新圈选条带</t>
        </is>
      </c>
    </row>
    <row r="11">
      <c r="B11" t="inlineStr">
        <is>
          <t>p-IκBα/IκBα 诱导增量抑制率</t>
        </is>
      </c>
      <c r="C11" t="inlineStr">
        <is>
          <t>公式</t>
        </is>
      </c>
      <c r="D11" s="4">
        <f>('组均值与SD'!F4-'组均值与SD'!E4)/('组均值与SD'!F4-'组均值与SD'!D4)</f>
        <v/>
      </c>
    </row>
    <row r="12">
      <c r="B12" t="inlineStr">
        <is>
          <t>v91 正文</t>
        </is>
      </c>
      <c r="D12" s="4" t="n">
        <v>0.646</v>
      </c>
    </row>
    <row r="13">
      <c r="B13" t="inlineStr">
        <is>
          <t>核对</t>
        </is>
      </c>
      <c r="D13">
        <f>IF(ROUND(D11*100,1)=ROUND(D12*100,1),"一致","需核查")</f>
        <v/>
      </c>
    </row>
    <row r="15">
      <c r="B15" t="inlineStr">
        <is>
          <t>精确 P 值提示</t>
        </is>
      </c>
      <c r="C15" s="3" t="inlineStr">
        <is>
          <t>p-IκBα/IκBα：Control vs HKSA+Baicalein 按等方差 Student t 检验并作 3 次 Bonferroni 校正，精确 P=0.002944，三位小数为 0.003，与 v91 正文一致。旧绘图统计文件中的 Welch 未校正 P 不再用于图 5。</t>
        </is>
      </c>
    </row>
    <row r="16"/>
    <row r="18">
      <c r="B18" s="2" t="inlineStr">
        <is>
          <t>均值与 SD 总结</t>
        </is>
      </c>
      <c r="C18">
        <f>IF(COUNTIF('现稿核对'!J4:J15,"需核查")=0,"正文列出的四项指标均值与 SD 均按三位小数一致","存在需核查项")</f>
        <v/>
      </c>
    </row>
    <row r="20">
      <c r="B20" s="2" t="inlineStr">
        <is>
          <t>主要比较 P 值</t>
        </is>
      </c>
    </row>
    <row r="21" ht="30" customHeight="1">
      <c r="C21" s="5" t="inlineStr">
        <is>
          <t>指标</t>
        </is>
      </c>
      <c r="D21" s="5" t="inlineStr">
        <is>
          <t>比较</t>
        </is>
      </c>
      <c r="E21" s="5" t="inlineStr">
        <is>
          <t>Bonferroni P</t>
        </is>
      </c>
    </row>
    <row r="22">
      <c r="C22" s="6" t="inlineStr">
        <is>
          <t>p-IκBα/IκBα</t>
        </is>
      </c>
      <c r="D22" s="6" t="inlineStr">
        <is>
          <t>Control vs HKSA+Baicalein</t>
        </is>
      </c>
      <c r="E22" s="7">
        <f>'两两比较'!I4</f>
        <v/>
      </c>
    </row>
    <row r="23">
      <c r="C23" s="6" t="inlineStr">
        <is>
          <t>p-IκBα/IκBα</t>
        </is>
      </c>
      <c r="D23" s="6" t="inlineStr">
        <is>
          <t>Control vs HKSA</t>
        </is>
      </c>
      <c r="E23" s="7">
        <f>'两两比较'!I5</f>
        <v/>
      </c>
    </row>
    <row r="24">
      <c r="C24" s="6" t="inlineStr">
        <is>
          <t>p-IκBα/IκBα</t>
        </is>
      </c>
      <c r="D24" s="6" t="inlineStr">
        <is>
          <t>HKSA+Baicalein vs HKSA</t>
        </is>
      </c>
      <c r="E24" s="7">
        <f>'两两比较'!I6</f>
        <v/>
      </c>
    </row>
  </sheetData>
  <mergeCells count="9">
    <mergeCell ref="C6:H6"/>
    <mergeCell ref="C15:H16"/>
    <mergeCell ref="B1:H1"/>
    <mergeCell ref="C5:H5"/>
    <mergeCell ref="C8:H8"/>
    <mergeCell ref="C18:H18"/>
    <mergeCell ref="C4:H4"/>
    <mergeCell ref="C3:H3"/>
    <mergeCell ref="C7:H7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N14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8" customWidth="1" min="4" max="4"/>
    <col width="15" customWidth="1" min="5" max="5"/>
    <col width="15" customWidth="1" min="6" max="6"/>
    <col width="18" customWidth="1" min="7" max="7"/>
    <col width="15" customWidth="1" min="8" max="8"/>
    <col width="15" customWidth="1" min="9" max="9"/>
    <col width="18" customWidth="1" min="10" max="10"/>
    <col width="15" customWidth="1" min="11" max="11"/>
    <col width="18" customWidth="1" min="12" max="12"/>
    <col width="18" customWidth="1" min="13" max="13"/>
  </cols>
  <sheetData>
    <row r="1" ht="28" customHeight="1">
      <c r="B1" s="1" t="inlineStr">
        <is>
          <t>WB 原始灰度值（来源工作簿逐格转录）</t>
        </is>
      </c>
    </row>
    <row r="3" ht="30" customHeight="1">
      <c r="B3" s="5" t="inlineStr">
        <is>
          <t>蛋白</t>
        </is>
      </c>
      <c r="C3" s="5" t="inlineStr">
        <is>
          <t>rep1
Control</t>
        </is>
      </c>
      <c r="D3" s="5" t="inlineStr">
        <is>
          <t>rep1
HKSA+Baicalein</t>
        </is>
      </c>
      <c r="E3" s="5" t="inlineStr">
        <is>
          <t>rep1
HKSA</t>
        </is>
      </c>
      <c r="F3" s="5" t="inlineStr">
        <is>
          <t>rep2
Control</t>
        </is>
      </c>
      <c r="G3" s="5" t="inlineStr">
        <is>
          <t>rep2
HKSA+Baicalein</t>
        </is>
      </c>
      <c r="H3" s="5" t="inlineStr">
        <is>
          <t>rep2
HKSA</t>
        </is>
      </c>
      <c r="I3" s="5" t="inlineStr">
        <is>
          <t>rep3
Control</t>
        </is>
      </c>
      <c r="J3" s="5" t="inlineStr">
        <is>
          <t>rep3
HKSA+Baicalein</t>
        </is>
      </c>
      <c r="K3" s="5" t="inlineStr">
        <is>
          <t>rep3
HKSA</t>
        </is>
      </c>
      <c r="L3" s="5" t="n"/>
      <c r="M3" s="5" t="n"/>
      <c r="N3" s="5" t="n"/>
    </row>
    <row r="4">
      <c r="B4" s="6" t="inlineStr">
        <is>
          <t>p-IκBα</t>
        </is>
      </c>
      <c r="C4" s="8" t="n">
        <v>12036</v>
      </c>
      <c r="D4" s="8" t="n">
        <v>23231</v>
      </c>
      <c r="E4" s="8" t="n">
        <v>42099</v>
      </c>
      <c r="F4" s="8" t="n">
        <v>10244</v>
      </c>
      <c r="G4" s="8" t="n">
        <v>20781</v>
      </c>
      <c r="H4" s="8" t="n">
        <v>41287</v>
      </c>
      <c r="I4" s="8" t="n">
        <v>11736</v>
      </c>
      <c r="J4" s="8" t="n">
        <v>21259</v>
      </c>
      <c r="K4" s="8" t="n">
        <v>40463</v>
      </c>
      <c r="L4" s="6" t="n"/>
      <c r="M4" s="6" t="n"/>
      <c r="N4" s="6" t="n"/>
    </row>
    <row r="5">
      <c r="B5" s="6" t="inlineStr">
        <is>
          <t>IκBα</t>
        </is>
      </c>
      <c r="C5" s="8" t="n">
        <v>42832</v>
      </c>
      <c r="D5" s="8" t="n">
        <v>41418</v>
      </c>
      <c r="E5" s="8" t="n">
        <v>44816</v>
      </c>
      <c r="F5" s="8" t="n">
        <v>43594</v>
      </c>
      <c r="G5" s="8" t="n">
        <v>43045</v>
      </c>
      <c r="H5" s="8" t="n">
        <v>42127</v>
      </c>
      <c r="I5" s="8" t="n">
        <v>41977</v>
      </c>
      <c r="J5" s="8" t="n">
        <v>42976</v>
      </c>
      <c r="K5" s="8" t="n">
        <v>41532</v>
      </c>
      <c r="L5" s="6" t="n"/>
      <c r="M5" s="6" t="n"/>
      <c r="N5" s="6" t="n"/>
    </row>
    <row r="6">
      <c r="B6" s="6" t="inlineStr">
        <is>
          <t>p-p65</t>
        </is>
      </c>
      <c r="C6" s="8" t="n">
        <v>5560</v>
      </c>
      <c r="D6" s="8" t="n">
        <v>16811</v>
      </c>
      <c r="E6" s="8" t="n">
        <v>32907</v>
      </c>
      <c r="F6" s="8" t="n">
        <v>5234</v>
      </c>
      <c r="G6" s="8" t="n">
        <v>15312</v>
      </c>
      <c r="H6" s="8" t="n">
        <v>32239</v>
      </c>
      <c r="I6" s="8" t="n">
        <v>5028</v>
      </c>
      <c r="J6" s="8" t="n">
        <v>15726</v>
      </c>
      <c r="K6" s="8" t="n">
        <v>31371</v>
      </c>
      <c r="L6" s="6" t="n"/>
      <c r="M6" s="6" t="n"/>
      <c r="N6" s="6" t="n"/>
    </row>
    <row r="7">
      <c r="B7" s="6" t="inlineStr">
        <is>
          <t>p65</t>
        </is>
      </c>
      <c r="C7" s="8" t="n">
        <v>43512</v>
      </c>
      <c r="D7" s="8" t="n">
        <v>42634</v>
      </c>
      <c r="E7" s="8" t="n">
        <v>42674</v>
      </c>
      <c r="F7" s="8" t="n">
        <v>41857</v>
      </c>
      <c r="G7" s="8" t="n">
        <v>41195</v>
      </c>
      <c r="H7" s="8" t="n">
        <v>41599</v>
      </c>
      <c r="I7" s="8" t="n">
        <v>42159</v>
      </c>
      <c r="J7" s="8" t="n">
        <v>41810</v>
      </c>
      <c r="K7" s="8" t="n">
        <v>40342</v>
      </c>
      <c r="L7" s="6" t="n"/>
      <c r="M7" s="6" t="n"/>
      <c r="N7" s="6" t="n"/>
    </row>
    <row r="8">
      <c r="B8" s="6" t="inlineStr">
        <is>
          <t>Nuclear p65</t>
        </is>
      </c>
      <c r="C8" s="8" t="n">
        <v>10033</v>
      </c>
      <c r="D8" s="8" t="n">
        <v>19782</v>
      </c>
      <c r="E8" s="8" t="n">
        <v>42412</v>
      </c>
      <c r="F8" s="8" t="n">
        <v>9120</v>
      </c>
      <c r="G8" s="8" t="n">
        <v>18798</v>
      </c>
      <c r="H8" s="8" t="n">
        <v>40165</v>
      </c>
      <c r="I8" s="8" t="n">
        <v>9896</v>
      </c>
      <c r="J8" s="8" t="n">
        <v>19651</v>
      </c>
      <c r="K8" s="8" t="n">
        <v>41995</v>
      </c>
      <c r="L8" s="6" t="n"/>
      <c r="M8" s="6" t="n"/>
      <c r="N8" s="6" t="n"/>
    </row>
    <row r="9">
      <c r="B9" s="6" t="inlineStr">
        <is>
          <t>Cytoplasmic p65</t>
        </is>
      </c>
      <c r="C9" s="8" t="n">
        <v>44166</v>
      </c>
      <c r="D9" s="8" t="n">
        <v>19074</v>
      </c>
      <c r="E9" s="8" t="n">
        <v>11473</v>
      </c>
      <c r="F9" s="8" t="n">
        <v>41198</v>
      </c>
      <c r="G9" s="8" t="n">
        <v>20576</v>
      </c>
      <c r="H9" s="8" t="n">
        <v>10113</v>
      </c>
      <c r="I9" s="8" t="n">
        <v>40066</v>
      </c>
      <c r="J9" s="8" t="n">
        <v>18462</v>
      </c>
      <c r="K9" s="8" t="n">
        <v>11061</v>
      </c>
      <c r="L9" s="6" t="n"/>
      <c r="M9" s="6" t="n"/>
      <c r="N9" s="6" t="n"/>
    </row>
    <row r="10">
      <c r="B10" s="6" t="inlineStr">
        <is>
          <t>β-actin</t>
        </is>
      </c>
      <c r="C10" s="8" t="n">
        <v>44532</v>
      </c>
      <c r="D10" s="8" t="n">
        <v>41336</v>
      </c>
      <c r="E10" s="8" t="n">
        <v>42138</v>
      </c>
      <c r="F10" s="8" t="n">
        <v>45481</v>
      </c>
      <c r="G10" s="8" t="n">
        <v>43657</v>
      </c>
      <c r="H10" s="8" t="n">
        <v>42415</v>
      </c>
      <c r="I10" s="8" t="n">
        <v>41890</v>
      </c>
      <c r="J10" s="8" t="n">
        <v>41255</v>
      </c>
      <c r="K10" s="8" t="n">
        <v>40185</v>
      </c>
      <c r="L10" s="6" t="n"/>
      <c r="M10" s="6" t="n"/>
      <c r="N10" s="6" t="n"/>
    </row>
    <row r="12">
      <c r="B12" s="2" t="inlineStr">
        <is>
          <t>来源</t>
        </is>
      </c>
      <c r="C12" s="3" t="inlineStr">
        <is>
          <t>06_source_material/wetlab_wb_raw_20261030/10.14灰度值(1).xlsx</t>
        </is>
      </c>
    </row>
    <row r="13">
      <c r="B13" s="2" t="inlineStr">
        <is>
          <t>来源位置</t>
        </is>
      </c>
      <c r="C13" s="3" t="inlineStr">
        <is>
          <t>Sheet1：rep1=C:E；rep2=G:I；rep3=K:M；组序均为 Control／HKSA+Baicalein／HKSA</t>
        </is>
      </c>
    </row>
    <row r="14">
      <c r="B14" s="2" t="inlineStr">
        <is>
          <t>内参口径</t>
        </is>
      </c>
      <c r="C14" s="3" t="inlineStr">
        <is>
          <t>原表 actin 行；按用户确认在稿件中写为 β-actin，不改写为 GAPDH</t>
        </is>
      </c>
    </row>
  </sheetData>
  <mergeCells count="4">
    <mergeCell ref="C12:N12"/>
    <mergeCell ref="C13:N13"/>
    <mergeCell ref="C14:N14"/>
    <mergeCell ref="B1:M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F66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20" customWidth="1" min="4" max="4"/>
    <col width="16" customWidth="1" min="5" max="5"/>
    <col width="16" customWidth="1" min="6" max="6"/>
  </cols>
  <sheetData>
    <row r="1" ht="28" customHeight="1">
      <c r="B1" s="1" t="inlineStr">
        <is>
          <t>原始灰度单元格映射</t>
        </is>
      </c>
    </row>
    <row r="3" ht="30" customHeight="1">
      <c r="B3" s="5" t="inlineStr">
        <is>
          <t>蛋白</t>
        </is>
      </c>
      <c r="C3" s="5" t="inlineStr">
        <is>
          <t>重复</t>
        </is>
      </c>
      <c r="D3" s="5" t="inlineStr">
        <is>
          <t>分组</t>
        </is>
      </c>
      <c r="E3" s="5" t="inlineStr">
        <is>
          <t>来源单元格</t>
        </is>
      </c>
      <c r="F3" s="5" t="inlineStr">
        <is>
          <t>原始数值</t>
        </is>
      </c>
    </row>
    <row r="4">
      <c r="B4" s="6" t="inlineStr">
        <is>
          <t>p-IκBα</t>
        </is>
      </c>
      <c r="C4" s="6" t="inlineStr">
        <is>
          <t>rep1</t>
        </is>
      </c>
      <c r="D4" s="6" t="inlineStr">
        <is>
          <t>Control</t>
        </is>
      </c>
      <c r="E4" s="6" t="inlineStr">
        <is>
          <t>Sheet1!C2</t>
        </is>
      </c>
      <c r="F4" s="6" t="n">
        <v>12036</v>
      </c>
    </row>
    <row r="5">
      <c r="B5" s="6" t="inlineStr">
        <is>
          <t>p-IκBα</t>
        </is>
      </c>
      <c r="C5" s="6" t="inlineStr">
        <is>
          <t>rep1</t>
        </is>
      </c>
      <c r="D5" s="6" t="inlineStr">
        <is>
          <t>HKSA+Baicalein</t>
        </is>
      </c>
      <c r="E5" s="6" t="inlineStr">
        <is>
          <t>Sheet1!D2</t>
        </is>
      </c>
      <c r="F5" s="6" t="n">
        <v>23231</v>
      </c>
    </row>
    <row r="6">
      <c r="B6" s="6" t="inlineStr">
        <is>
          <t>p-IκBα</t>
        </is>
      </c>
      <c r="C6" s="6" t="inlineStr">
        <is>
          <t>rep1</t>
        </is>
      </c>
      <c r="D6" s="6" t="inlineStr">
        <is>
          <t>HKSA</t>
        </is>
      </c>
      <c r="E6" s="6" t="inlineStr">
        <is>
          <t>Sheet1!E2</t>
        </is>
      </c>
      <c r="F6" s="6" t="n">
        <v>42099</v>
      </c>
    </row>
    <row r="7">
      <c r="B7" s="6" t="inlineStr">
        <is>
          <t>p-IκBα</t>
        </is>
      </c>
      <c r="C7" s="6" t="inlineStr">
        <is>
          <t>rep2</t>
        </is>
      </c>
      <c r="D7" s="6" t="inlineStr">
        <is>
          <t>Control</t>
        </is>
      </c>
      <c r="E7" s="6" t="inlineStr">
        <is>
          <t>Sheet1!G2</t>
        </is>
      </c>
      <c r="F7" s="6" t="n">
        <v>10244</v>
      </c>
    </row>
    <row r="8">
      <c r="B8" s="6" t="inlineStr">
        <is>
          <t>p-IκBα</t>
        </is>
      </c>
      <c r="C8" s="6" t="inlineStr">
        <is>
          <t>rep2</t>
        </is>
      </c>
      <c r="D8" s="6" t="inlineStr">
        <is>
          <t>HKSA+Baicalein</t>
        </is>
      </c>
      <c r="E8" s="6" t="inlineStr">
        <is>
          <t>Sheet1!H2</t>
        </is>
      </c>
      <c r="F8" s="6" t="n">
        <v>20781</v>
      </c>
    </row>
    <row r="9">
      <c r="B9" s="6" t="inlineStr">
        <is>
          <t>p-IκBα</t>
        </is>
      </c>
      <c r="C9" s="6" t="inlineStr">
        <is>
          <t>rep2</t>
        </is>
      </c>
      <c r="D9" s="6" t="inlineStr">
        <is>
          <t>HKSA</t>
        </is>
      </c>
      <c r="E9" s="6" t="inlineStr">
        <is>
          <t>Sheet1!I2</t>
        </is>
      </c>
      <c r="F9" s="6" t="n">
        <v>41287</v>
      </c>
    </row>
    <row r="10">
      <c r="B10" s="6" t="inlineStr">
        <is>
          <t>p-IκBα</t>
        </is>
      </c>
      <c r="C10" s="6" t="inlineStr">
        <is>
          <t>rep3</t>
        </is>
      </c>
      <c r="D10" s="6" t="inlineStr">
        <is>
          <t>Control</t>
        </is>
      </c>
      <c r="E10" s="6" t="inlineStr">
        <is>
          <t>Sheet1!K2</t>
        </is>
      </c>
      <c r="F10" s="6" t="n">
        <v>11736</v>
      </c>
    </row>
    <row r="11">
      <c r="B11" s="6" t="inlineStr">
        <is>
          <t>p-IκBα</t>
        </is>
      </c>
      <c r="C11" s="6" t="inlineStr">
        <is>
          <t>rep3</t>
        </is>
      </c>
      <c r="D11" s="6" t="inlineStr">
        <is>
          <t>HKSA+Baicalein</t>
        </is>
      </c>
      <c r="E11" s="6" t="inlineStr">
        <is>
          <t>Sheet1!L2</t>
        </is>
      </c>
      <c r="F11" s="6" t="n">
        <v>21259</v>
      </c>
    </row>
    <row r="12">
      <c r="B12" s="6" t="inlineStr">
        <is>
          <t>p-IκBα</t>
        </is>
      </c>
      <c r="C12" s="6" t="inlineStr">
        <is>
          <t>rep3</t>
        </is>
      </c>
      <c r="D12" s="6" t="inlineStr">
        <is>
          <t>HKSA</t>
        </is>
      </c>
      <c r="E12" s="6" t="inlineStr">
        <is>
          <t>Sheet1!M2</t>
        </is>
      </c>
      <c r="F12" s="6" t="n">
        <v>40463</v>
      </c>
    </row>
    <row r="13">
      <c r="B13" s="6" t="inlineStr">
        <is>
          <t>IκBα</t>
        </is>
      </c>
      <c r="C13" s="6" t="inlineStr">
        <is>
          <t>rep1</t>
        </is>
      </c>
      <c r="D13" s="6" t="inlineStr">
        <is>
          <t>Control</t>
        </is>
      </c>
      <c r="E13" s="6" t="inlineStr">
        <is>
          <t>Sheet1!C3</t>
        </is>
      </c>
      <c r="F13" s="6" t="n">
        <v>42832</v>
      </c>
    </row>
    <row r="14">
      <c r="B14" s="6" t="inlineStr">
        <is>
          <t>IκBα</t>
        </is>
      </c>
      <c r="C14" s="6" t="inlineStr">
        <is>
          <t>rep1</t>
        </is>
      </c>
      <c r="D14" s="6" t="inlineStr">
        <is>
          <t>HKSA+Baicalein</t>
        </is>
      </c>
      <c r="E14" s="6" t="inlineStr">
        <is>
          <t>Sheet1!D3</t>
        </is>
      </c>
      <c r="F14" s="6" t="n">
        <v>41418</v>
      </c>
    </row>
    <row r="15">
      <c r="B15" s="6" t="inlineStr">
        <is>
          <t>IκBα</t>
        </is>
      </c>
      <c r="C15" s="6" t="inlineStr">
        <is>
          <t>rep1</t>
        </is>
      </c>
      <c r="D15" s="6" t="inlineStr">
        <is>
          <t>HKSA</t>
        </is>
      </c>
      <c r="E15" s="6" t="inlineStr">
        <is>
          <t>Sheet1!E3</t>
        </is>
      </c>
      <c r="F15" s="6" t="n">
        <v>44816</v>
      </c>
    </row>
    <row r="16">
      <c r="B16" s="6" t="inlineStr">
        <is>
          <t>IκBα</t>
        </is>
      </c>
      <c r="C16" s="6" t="inlineStr">
        <is>
          <t>rep2</t>
        </is>
      </c>
      <c r="D16" s="6" t="inlineStr">
        <is>
          <t>Control</t>
        </is>
      </c>
      <c r="E16" s="6" t="inlineStr">
        <is>
          <t>Sheet1!G3</t>
        </is>
      </c>
      <c r="F16" s="6" t="n">
        <v>43594</v>
      </c>
    </row>
    <row r="17">
      <c r="B17" s="6" t="inlineStr">
        <is>
          <t>IκBα</t>
        </is>
      </c>
      <c r="C17" s="6" t="inlineStr">
        <is>
          <t>rep2</t>
        </is>
      </c>
      <c r="D17" s="6" t="inlineStr">
        <is>
          <t>HKSA+Baicalein</t>
        </is>
      </c>
      <c r="E17" s="6" t="inlineStr">
        <is>
          <t>Sheet1!H3</t>
        </is>
      </c>
      <c r="F17" s="6" t="n">
        <v>43045</v>
      </c>
    </row>
    <row r="18">
      <c r="B18" s="6" t="inlineStr">
        <is>
          <t>IκBα</t>
        </is>
      </c>
      <c r="C18" s="6" t="inlineStr">
        <is>
          <t>rep2</t>
        </is>
      </c>
      <c r="D18" s="6" t="inlineStr">
        <is>
          <t>HKSA</t>
        </is>
      </c>
      <c r="E18" s="6" t="inlineStr">
        <is>
          <t>Sheet1!I3</t>
        </is>
      </c>
      <c r="F18" s="6" t="n">
        <v>42127</v>
      </c>
    </row>
    <row r="19">
      <c r="B19" s="6" t="inlineStr">
        <is>
          <t>IκBα</t>
        </is>
      </c>
      <c r="C19" s="6" t="inlineStr">
        <is>
          <t>rep3</t>
        </is>
      </c>
      <c r="D19" s="6" t="inlineStr">
        <is>
          <t>Control</t>
        </is>
      </c>
      <c r="E19" s="6" t="inlineStr">
        <is>
          <t>Sheet1!K3</t>
        </is>
      </c>
      <c r="F19" s="6" t="n">
        <v>41977</v>
      </c>
    </row>
    <row r="20">
      <c r="B20" s="6" t="inlineStr">
        <is>
          <t>IκBα</t>
        </is>
      </c>
      <c r="C20" s="6" t="inlineStr">
        <is>
          <t>rep3</t>
        </is>
      </c>
      <c r="D20" s="6" t="inlineStr">
        <is>
          <t>HKSA+Baicalein</t>
        </is>
      </c>
      <c r="E20" s="6" t="inlineStr">
        <is>
          <t>Sheet1!L3</t>
        </is>
      </c>
      <c r="F20" s="6" t="n">
        <v>42976</v>
      </c>
    </row>
    <row r="21">
      <c r="B21" s="6" t="inlineStr">
        <is>
          <t>IκBα</t>
        </is>
      </c>
      <c r="C21" s="6" t="inlineStr">
        <is>
          <t>rep3</t>
        </is>
      </c>
      <c r="D21" s="6" t="inlineStr">
        <is>
          <t>HKSA</t>
        </is>
      </c>
      <c r="E21" s="6" t="inlineStr">
        <is>
          <t>Sheet1!M3</t>
        </is>
      </c>
      <c r="F21" s="6" t="n">
        <v>41532</v>
      </c>
    </row>
    <row r="22">
      <c r="B22" s="6" t="inlineStr">
        <is>
          <t>p-p65</t>
        </is>
      </c>
      <c r="C22" s="6" t="inlineStr">
        <is>
          <t>rep1</t>
        </is>
      </c>
      <c r="D22" s="6" t="inlineStr">
        <is>
          <t>Control</t>
        </is>
      </c>
      <c r="E22" s="6" t="inlineStr">
        <is>
          <t>Sheet1!C5</t>
        </is>
      </c>
      <c r="F22" s="6" t="n">
        <v>5560</v>
      </c>
    </row>
    <row r="23">
      <c r="B23" s="6" t="inlineStr">
        <is>
          <t>p-p65</t>
        </is>
      </c>
      <c r="C23" s="6" t="inlineStr">
        <is>
          <t>rep1</t>
        </is>
      </c>
      <c r="D23" s="6" t="inlineStr">
        <is>
          <t>HKSA+Baicalein</t>
        </is>
      </c>
      <c r="E23" s="6" t="inlineStr">
        <is>
          <t>Sheet1!D5</t>
        </is>
      </c>
      <c r="F23" s="6" t="n">
        <v>16811</v>
      </c>
    </row>
    <row r="24">
      <c r="B24" s="6" t="inlineStr">
        <is>
          <t>p-p65</t>
        </is>
      </c>
      <c r="C24" s="6" t="inlineStr">
        <is>
          <t>rep1</t>
        </is>
      </c>
      <c r="D24" s="6" t="inlineStr">
        <is>
          <t>HKSA</t>
        </is>
      </c>
      <c r="E24" s="6" t="inlineStr">
        <is>
          <t>Sheet1!E5</t>
        </is>
      </c>
      <c r="F24" s="6" t="n">
        <v>32907</v>
      </c>
    </row>
    <row r="25">
      <c r="B25" s="6" t="inlineStr">
        <is>
          <t>p-p65</t>
        </is>
      </c>
      <c r="C25" s="6" t="inlineStr">
        <is>
          <t>rep2</t>
        </is>
      </c>
      <c r="D25" s="6" t="inlineStr">
        <is>
          <t>Control</t>
        </is>
      </c>
      <c r="E25" s="6" t="inlineStr">
        <is>
          <t>Sheet1!G5</t>
        </is>
      </c>
      <c r="F25" s="6" t="n">
        <v>5234</v>
      </c>
    </row>
    <row r="26">
      <c r="B26" s="6" t="inlineStr">
        <is>
          <t>p-p65</t>
        </is>
      </c>
      <c r="C26" s="6" t="inlineStr">
        <is>
          <t>rep2</t>
        </is>
      </c>
      <c r="D26" s="6" t="inlineStr">
        <is>
          <t>HKSA+Baicalein</t>
        </is>
      </c>
      <c r="E26" s="6" t="inlineStr">
        <is>
          <t>Sheet1!H5</t>
        </is>
      </c>
      <c r="F26" s="6" t="n">
        <v>15312</v>
      </c>
    </row>
    <row r="27">
      <c r="B27" s="6" t="inlineStr">
        <is>
          <t>p-p65</t>
        </is>
      </c>
      <c r="C27" s="6" t="inlineStr">
        <is>
          <t>rep2</t>
        </is>
      </c>
      <c r="D27" s="6" t="inlineStr">
        <is>
          <t>HKSA</t>
        </is>
      </c>
      <c r="E27" s="6" t="inlineStr">
        <is>
          <t>Sheet1!I5</t>
        </is>
      </c>
      <c r="F27" s="6" t="n">
        <v>32239</v>
      </c>
    </row>
    <row r="28">
      <c r="B28" s="6" t="inlineStr">
        <is>
          <t>p-p65</t>
        </is>
      </c>
      <c r="C28" s="6" t="inlineStr">
        <is>
          <t>rep3</t>
        </is>
      </c>
      <c r="D28" s="6" t="inlineStr">
        <is>
          <t>Control</t>
        </is>
      </c>
      <c r="E28" s="6" t="inlineStr">
        <is>
          <t>Sheet1!K5</t>
        </is>
      </c>
      <c r="F28" s="6" t="n">
        <v>5028</v>
      </c>
    </row>
    <row r="29">
      <c r="B29" s="6" t="inlineStr">
        <is>
          <t>p-p65</t>
        </is>
      </c>
      <c r="C29" s="6" t="inlineStr">
        <is>
          <t>rep3</t>
        </is>
      </c>
      <c r="D29" s="6" t="inlineStr">
        <is>
          <t>HKSA+Baicalein</t>
        </is>
      </c>
      <c r="E29" s="6" t="inlineStr">
        <is>
          <t>Sheet1!L5</t>
        </is>
      </c>
      <c r="F29" s="6" t="n">
        <v>15726</v>
      </c>
    </row>
    <row r="30">
      <c r="B30" s="6" t="inlineStr">
        <is>
          <t>p-p65</t>
        </is>
      </c>
      <c r="C30" s="6" t="inlineStr">
        <is>
          <t>rep3</t>
        </is>
      </c>
      <c r="D30" s="6" t="inlineStr">
        <is>
          <t>HKSA</t>
        </is>
      </c>
      <c r="E30" s="6" t="inlineStr">
        <is>
          <t>Sheet1!M5</t>
        </is>
      </c>
      <c r="F30" s="6" t="n">
        <v>31371</v>
      </c>
    </row>
    <row r="31">
      <c r="B31" s="6" t="inlineStr">
        <is>
          <t>p65</t>
        </is>
      </c>
      <c r="C31" s="6" t="inlineStr">
        <is>
          <t>rep1</t>
        </is>
      </c>
      <c r="D31" s="6" t="inlineStr">
        <is>
          <t>Control</t>
        </is>
      </c>
      <c r="E31" s="6" t="inlineStr">
        <is>
          <t>Sheet1!C6</t>
        </is>
      </c>
      <c r="F31" s="6" t="n">
        <v>43512</v>
      </c>
    </row>
    <row r="32">
      <c r="B32" s="6" t="inlineStr">
        <is>
          <t>p65</t>
        </is>
      </c>
      <c r="C32" s="6" t="inlineStr">
        <is>
          <t>rep1</t>
        </is>
      </c>
      <c r="D32" s="6" t="inlineStr">
        <is>
          <t>HKSA+Baicalein</t>
        </is>
      </c>
      <c r="E32" s="6" t="inlineStr">
        <is>
          <t>Sheet1!D6</t>
        </is>
      </c>
      <c r="F32" s="6" t="n">
        <v>42634</v>
      </c>
    </row>
    <row r="33">
      <c r="B33" s="6" t="inlineStr">
        <is>
          <t>p65</t>
        </is>
      </c>
      <c r="C33" s="6" t="inlineStr">
        <is>
          <t>rep1</t>
        </is>
      </c>
      <c r="D33" s="6" t="inlineStr">
        <is>
          <t>HKSA</t>
        </is>
      </c>
      <c r="E33" s="6" t="inlineStr">
        <is>
          <t>Sheet1!E6</t>
        </is>
      </c>
      <c r="F33" s="6" t="n">
        <v>42674</v>
      </c>
    </row>
    <row r="34">
      <c r="B34" s="6" t="inlineStr">
        <is>
          <t>p65</t>
        </is>
      </c>
      <c r="C34" s="6" t="inlineStr">
        <is>
          <t>rep2</t>
        </is>
      </c>
      <c r="D34" s="6" t="inlineStr">
        <is>
          <t>Control</t>
        </is>
      </c>
      <c r="E34" s="6" t="inlineStr">
        <is>
          <t>Sheet1!G6</t>
        </is>
      </c>
      <c r="F34" s="6" t="n">
        <v>41857</v>
      </c>
    </row>
    <row r="35">
      <c r="B35" s="6" t="inlineStr">
        <is>
          <t>p65</t>
        </is>
      </c>
      <c r="C35" s="6" t="inlineStr">
        <is>
          <t>rep2</t>
        </is>
      </c>
      <c r="D35" s="6" t="inlineStr">
        <is>
          <t>HKSA+Baicalein</t>
        </is>
      </c>
      <c r="E35" s="6" t="inlineStr">
        <is>
          <t>Sheet1!H6</t>
        </is>
      </c>
      <c r="F35" s="6" t="n">
        <v>41195</v>
      </c>
    </row>
    <row r="36">
      <c r="B36" s="6" t="inlineStr">
        <is>
          <t>p65</t>
        </is>
      </c>
      <c r="C36" s="6" t="inlineStr">
        <is>
          <t>rep2</t>
        </is>
      </c>
      <c r="D36" s="6" t="inlineStr">
        <is>
          <t>HKSA</t>
        </is>
      </c>
      <c r="E36" s="6" t="inlineStr">
        <is>
          <t>Sheet1!I6</t>
        </is>
      </c>
      <c r="F36" s="6" t="n">
        <v>41599</v>
      </c>
    </row>
    <row r="37">
      <c r="B37" s="6" t="inlineStr">
        <is>
          <t>p65</t>
        </is>
      </c>
      <c r="C37" s="6" t="inlineStr">
        <is>
          <t>rep3</t>
        </is>
      </c>
      <c r="D37" s="6" t="inlineStr">
        <is>
          <t>Control</t>
        </is>
      </c>
      <c r="E37" s="6" t="inlineStr">
        <is>
          <t>Sheet1!K6</t>
        </is>
      </c>
      <c r="F37" s="6" t="n">
        <v>42159</v>
      </c>
    </row>
    <row r="38">
      <c r="B38" s="6" t="inlineStr">
        <is>
          <t>p65</t>
        </is>
      </c>
      <c r="C38" s="6" t="inlineStr">
        <is>
          <t>rep3</t>
        </is>
      </c>
      <c r="D38" s="6" t="inlineStr">
        <is>
          <t>HKSA+Baicalein</t>
        </is>
      </c>
      <c r="E38" s="6" t="inlineStr">
        <is>
          <t>Sheet1!L6</t>
        </is>
      </c>
      <c r="F38" s="6" t="n">
        <v>41810</v>
      </c>
    </row>
    <row r="39">
      <c r="B39" s="6" t="inlineStr">
        <is>
          <t>p65</t>
        </is>
      </c>
      <c r="C39" s="6" t="inlineStr">
        <is>
          <t>rep3</t>
        </is>
      </c>
      <c r="D39" s="6" t="inlineStr">
        <is>
          <t>HKSA</t>
        </is>
      </c>
      <c r="E39" s="6" t="inlineStr">
        <is>
          <t>Sheet1!M6</t>
        </is>
      </c>
      <c r="F39" s="6" t="n">
        <v>40342</v>
      </c>
    </row>
    <row r="40">
      <c r="B40" s="6" t="inlineStr">
        <is>
          <t>Nuclear p65</t>
        </is>
      </c>
      <c r="C40" s="6" t="inlineStr">
        <is>
          <t>rep1</t>
        </is>
      </c>
      <c r="D40" s="6" t="inlineStr">
        <is>
          <t>Control</t>
        </is>
      </c>
      <c r="E40" s="6" t="inlineStr">
        <is>
          <t>Sheet1!C8</t>
        </is>
      </c>
      <c r="F40" s="6" t="n">
        <v>10033</v>
      </c>
    </row>
    <row r="41">
      <c r="B41" s="6" t="inlineStr">
        <is>
          <t>Nuclear p65</t>
        </is>
      </c>
      <c r="C41" s="6" t="inlineStr">
        <is>
          <t>rep1</t>
        </is>
      </c>
      <c r="D41" s="6" t="inlineStr">
        <is>
          <t>HKSA+Baicalein</t>
        </is>
      </c>
      <c r="E41" s="6" t="inlineStr">
        <is>
          <t>Sheet1!D8</t>
        </is>
      </c>
      <c r="F41" s="6" t="n">
        <v>19782</v>
      </c>
    </row>
    <row r="42">
      <c r="B42" s="6" t="inlineStr">
        <is>
          <t>Nuclear p65</t>
        </is>
      </c>
      <c r="C42" s="6" t="inlineStr">
        <is>
          <t>rep1</t>
        </is>
      </c>
      <c r="D42" s="6" t="inlineStr">
        <is>
          <t>HKSA</t>
        </is>
      </c>
      <c r="E42" s="6" t="inlineStr">
        <is>
          <t>Sheet1!E8</t>
        </is>
      </c>
      <c r="F42" s="6" t="n">
        <v>42412</v>
      </c>
    </row>
    <row r="43">
      <c r="B43" s="6" t="inlineStr">
        <is>
          <t>Nuclear p65</t>
        </is>
      </c>
      <c r="C43" s="6" t="inlineStr">
        <is>
          <t>rep2</t>
        </is>
      </c>
      <c r="D43" s="6" t="inlineStr">
        <is>
          <t>Control</t>
        </is>
      </c>
      <c r="E43" s="6" t="inlineStr">
        <is>
          <t>Sheet1!G8</t>
        </is>
      </c>
      <c r="F43" s="6" t="n">
        <v>9120</v>
      </c>
    </row>
    <row r="44">
      <c r="B44" s="6" t="inlineStr">
        <is>
          <t>Nuclear p65</t>
        </is>
      </c>
      <c r="C44" s="6" t="inlineStr">
        <is>
          <t>rep2</t>
        </is>
      </c>
      <c r="D44" s="6" t="inlineStr">
        <is>
          <t>HKSA+Baicalein</t>
        </is>
      </c>
      <c r="E44" s="6" t="inlineStr">
        <is>
          <t>Sheet1!H8</t>
        </is>
      </c>
      <c r="F44" s="6" t="n">
        <v>18798</v>
      </c>
    </row>
    <row r="45">
      <c r="B45" s="6" t="inlineStr">
        <is>
          <t>Nuclear p65</t>
        </is>
      </c>
      <c r="C45" s="6" t="inlineStr">
        <is>
          <t>rep2</t>
        </is>
      </c>
      <c r="D45" s="6" t="inlineStr">
        <is>
          <t>HKSA</t>
        </is>
      </c>
      <c r="E45" s="6" t="inlineStr">
        <is>
          <t>Sheet1!I8</t>
        </is>
      </c>
      <c r="F45" s="6" t="n">
        <v>40165</v>
      </c>
    </row>
    <row r="46">
      <c r="B46" s="6" t="inlineStr">
        <is>
          <t>Nuclear p65</t>
        </is>
      </c>
      <c r="C46" s="6" t="inlineStr">
        <is>
          <t>rep3</t>
        </is>
      </c>
      <c r="D46" s="6" t="inlineStr">
        <is>
          <t>Control</t>
        </is>
      </c>
      <c r="E46" s="6" t="inlineStr">
        <is>
          <t>Sheet1!K8</t>
        </is>
      </c>
      <c r="F46" s="6" t="n">
        <v>9896</v>
      </c>
    </row>
    <row r="47">
      <c r="B47" s="6" t="inlineStr">
        <is>
          <t>Nuclear p65</t>
        </is>
      </c>
      <c r="C47" s="6" t="inlineStr">
        <is>
          <t>rep3</t>
        </is>
      </c>
      <c r="D47" s="6" t="inlineStr">
        <is>
          <t>HKSA+Baicalein</t>
        </is>
      </c>
      <c r="E47" s="6" t="inlineStr">
        <is>
          <t>Sheet1!L8</t>
        </is>
      </c>
      <c r="F47" s="6" t="n">
        <v>19651</v>
      </c>
    </row>
    <row r="48">
      <c r="B48" s="6" t="inlineStr">
        <is>
          <t>Nuclear p65</t>
        </is>
      </c>
      <c r="C48" s="6" t="inlineStr">
        <is>
          <t>rep3</t>
        </is>
      </c>
      <c r="D48" s="6" t="inlineStr">
        <is>
          <t>HKSA</t>
        </is>
      </c>
      <c r="E48" s="6" t="inlineStr">
        <is>
          <t>Sheet1!M8</t>
        </is>
      </c>
      <c r="F48" s="6" t="n">
        <v>41995</v>
      </c>
    </row>
    <row r="49">
      <c r="B49" s="6" t="inlineStr">
        <is>
          <t>Cytoplasmic p65</t>
        </is>
      </c>
      <c r="C49" s="6" t="inlineStr">
        <is>
          <t>rep1</t>
        </is>
      </c>
      <c r="D49" s="6" t="inlineStr">
        <is>
          <t>Control</t>
        </is>
      </c>
      <c r="E49" s="6" t="inlineStr">
        <is>
          <t>Sheet1!C9</t>
        </is>
      </c>
      <c r="F49" s="6" t="n">
        <v>44166</v>
      </c>
    </row>
    <row r="50">
      <c r="B50" s="6" t="inlineStr">
        <is>
          <t>Cytoplasmic p65</t>
        </is>
      </c>
      <c r="C50" s="6" t="inlineStr">
        <is>
          <t>rep1</t>
        </is>
      </c>
      <c r="D50" s="6" t="inlineStr">
        <is>
          <t>HKSA+Baicalein</t>
        </is>
      </c>
      <c r="E50" s="6" t="inlineStr">
        <is>
          <t>Sheet1!D9</t>
        </is>
      </c>
      <c r="F50" s="6" t="n">
        <v>19074</v>
      </c>
    </row>
    <row r="51">
      <c r="B51" s="6" t="inlineStr">
        <is>
          <t>Cytoplasmic p65</t>
        </is>
      </c>
      <c r="C51" s="6" t="inlineStr">
        <is>
          <t>rep1</t>
        </is>
      </c>
      <c r="D51" s="6" t="inlineStr">
        <is>
          <t>HKSA</t>
        </is>
      </c>
      <c r="E51" s="6" t="inlineStr">
        <is>
          <t>Sheet1!E9</t>
        </is>
      </c>
      <c r="F51" s="6" t="n">
        <v>11473</v>
      </c>
    </row>
    <row r="52">
      <c r="B52" s="6" t="inlineStr">
        <is>
          <t>Cytoplasmic p65</t>
        </is>
      </c>
      <c r="C52" s="6" t="inlineStr">
        <is>
          <t>rep2</t>
        </is>
      </c>
      <c r="D52" s="6" t="inlineStr">
        <is>
          <t>Control</t>
        </is>
      </c>
      <c r="E52" s="6" t="inlineStr">
        <is>
          <t>Sheet1!G9</t>
        </is>
      </c>
      <c r="F52" s="6" t="n">
        <v>41198</v>
      </c>
    </row>
    <row r="53">
      <c r="B53" s="6" t="inlineStr">
        <is>
          <t>Cytoplasmic p65</t>
        </is>
      </c>
      <c r="C53" s="6" t="inlineStr">
        <is>
          <t>rep2</t>
        </is>
      </c>
      <c r="D53" s="6" t="inlineStr">
        <is>
          <t>HKSA+Baicalein</t>
        </is>
      </c>
      <c r="E53" s="6" t="inlineStr">
        <is>
          <t>Sheet1!H9</t>
        </is>
      </c>
      <c r="F53" s="6" t="n">
        <v>20576</v>
      </c>
    </row>
    <row r="54">
      <c r="B54" s="6" t="inlineStr">
        <is>
          <t>Cytoplasmic p65</t>
        </is>
      </c>
      <c r="C54" s="6" t="inlineStr">
        <is>
          <t>rep2</t>
        </is>
      </c>
      <c r="D54" s="6" t="inlineStr">
        <is>
          <t>HKSA</t>
        </is>
      </c>
      <c r="E54" s="6" t="inlineStr">
        <is>
          <t>Sheet1!I9</t>
        </is>
      </c>
      <c r="F54" s="6" t="n">
        <v>10113</v>
      </c>
    </row>
    <row r="55">
      <c r="B55" s="6" t="inlineStr">
        <is>
          <t>Cytoplasmic p65</t>
        </is>
      </c>
      <c r="C55" s="6" t="inlineStr">
        <is>
          <t>rep3</t>
        </is>
      </c>
      <c r="D55" s="6" t="inlineStr">
        <is>
          <t>Control</t>
        </is>
      </c>
      <c r="E55" s="6" t="inlineStr">
        <is>
          <t>Sheet1!K9</t>
        </is>
      </c>
      <c r="F55" s="6" t="n">
        <v>40066</v>
      </c>
    </row>
    <row r="56">
      <c r="B56" s="6" t="inlineStr">
        <is>
          <t>Cytoplasmic p65</t>
        </is>
      </c>
      <c r="C56" s="6" t="inlineStr">
        <is>
          <t>rep3</t>
        </is>
      </c>
      <c r="D56" s="6" t="inlineStr">
        <is>
          <t>HKSA+Baicalein</t>
        </is>
      </c>
      <c r="E56" s="6" t="inlineStr">
        <is>
          <t>Sheet1!L9</t>
        </is>
      </c>
      <c r="F56" s="6" t="n">
        <v>18462</v>
      </c>
    </row>
    <row r="57">
      <c r="B57" s="6" t="inlineStr">
        <is>
          <t>Cytoplasmic p65</t>
        </is>
      </c>
      <c r="C57" s="6" t="inlineStr">
        <is>
          <t>rep3</t>
        </is>
      </c>
      <c r="D57" s="6" t="inlineStr">
        <is>
          <t>HKSA</t>
        </is>
      </c>
      <c r="E57" s="6" t="inlineStr">
        <is>
          <t>Sheet1!M9</t>
        </is>
      </c>
      <c r="F57" s="6" t="n">
        <v>11061</v>
      </c>
    </row>
    <row r="58">
      <c r="B58" s="6" t="inlineStr">
        <is>
          <t>β-actin</t>
        </is>
      </c>
      <c r="C58" s="6" t="inlineStr">
        <is>
          <t>rep1</t>
        </is>
      </c>
      <c r="D58" s="6" t="inlineStr">
        <is>
          <t>Control</t>
        </is>
      </c>
      <c r="E58" s="6" t="inlineStr">
        <is>
          <t>Sheet1!C10</t>
        </is>
      </c>
      <c r="F58" s="6" t="n">
        <v>44532</v>
      </c>
    </row>
    <row r="59">
      <c r="B59" s="6" t="inlineStr">
        <is>
          <t>β-actin</t>
        </is>
      </c>
      <c r="C59" s="6" t="inlineStr">
        <is>
          <t>rep1</t>
        </is>
      </c>
      <c r="D59" s="6" t="inlineStr">
        <is>
          <t>HKSA+Baicalein</t>
        </is>
      </c>
      <c r="E59" s="6" t="inlineStr">
        <is>
          <t>Sheet1!D10</t>
        </is>
      </c>
      <c r="F59" s="6" t="n">
        <v>41336</v>
      </c>
    </row>
    <row r="60">
      <c r="B60" s="6" t="inlineStr">
        <is>
          <t>β-actin</t>
        </is>
      </c>
      <c r="C60" s="6" t="inlineStr">
        <is>
          <t>rep1</t>
        </is>
      </c>
      <c r="D60" s="6" t="inlineStr">
        <is>
          <t>HKSA</t>
        </is>
      </c>
      <c r="E60" s="6" t="inlineStr">
        <is>
          <t>Sheet1!E10</t>
        </is>
      </c>
      <c r="F60" s="6" t="n">
        <v>42138</v>
      </c>
    </row>
    <row r="61">
      <c r="B61" s="6" t="inlineStr">
        <is>
          <t>β-actin</t>
        </is>
      </c>
      <c r="C61" s="6" t="inlineStr">
        <is>
          <t>rep2</t>
        </is>
      </c>
      <c r="D61" s="6" t="inlineStr">
        <is>
          <t>Control</t>
        </is>
      </c>
      <c r="E61" s="6" t="inlineStr">
        <is>
          <t>Sheet1!G10</t>
        </is>
      </c>
      <c r="F61" s="6" t="n">
        <v>45481</v>
      </c>
    </row>
    <row r="62">
      <c r="B62" s="6" t="inlineStr">
        <is>
          <t>β-actin</t>
        </is>
      </c>
      <c r="C62" s="6" t="inlineStr">
        <is>
          <t>rep2</t>
        </is>
      </c>
      <c r="D62" s="6" t="inlineStr">
        <is>
          <t>HKSA+Baicalein</t>
        </is>
      </c>
      <c r="E62" s="6" t="inlineStr">
        <is>
          <t>Sheet1!H10</t>
        </is>
      </c>
      <c r="F62" s="6" t="n">
        <v>43657</v>
      </c>
    </row>
    <row r="63">
      <c r="B63" s="6" t="inlineStr">
        <is>
          <t>β-actin</t>
        </is>
      </c>
      <c r="C63" s="6" t="inlineStr">
        <is>
          <t>rep2</t>
        </is>
      </c>
      <c r="D63" s="6" t="inlineStr">
        <is>
          <t>HKSA</t>
        </is>
      </c>
      <c r="E63" s="6" t="inlineStr">
        <is>
          <t>Sheet1!I10</t>
        </is>
      </c>
      <c r="F63" s="6" t="n">
        <v>42415</v>
      </c>
    </row>
    <row r="64">
      <c r="B64" s="6" t="inlineStr">
        <is>
          <t>β-actin</t>
        </is>
      </c>
      <c r="C64" s="6" t="inlineStr">
        <is>
          <t>rep3</t>
        </is>
      </c>
      <c r="D64" s="6" t="inlineStr">
        <is>
          <t>Control</t>
        </is>
      </c>
      <c r="E64" s="6" t="inlineStr">
        <is>
          <t>Sheet1!K10</t>
        </is>
      </c>
      <c r="F64" s="6" t="n">
        <v>41890</v>
      </c>
    </row>
    <row r="65">
      <c r="B65" s="6" t="inlineStr">
        <is>
          <t>β-actin</t>
        </is>
      </c>
      <c r="C65" s="6" t="inlineStr">
        <is>
          <t>rep3</t>
        </is>
      </c>
      <c r="D65" s="6" t="inlineStr">
        <is>
          <t>HKSA+Baicalein</t>
        </is>
      </c>
      <c r="E65" s="6" t="inlineStr">
        <is>
          <t>Sheet1!L10</t>
        </is>
      </c>
      <c r="F65" s="6" t="n">
        <v>41255</v>
      </c>
    </row>
    <row r="66">
      <c r="B66" s="6" t="inlineStr">
        <is>
          <t>β-actin</t>
        </is>
      </c>
      <c r="C66" s="6" t="inlineStr">
        <is>
          <t>rep3</t>
        </is>
      </c>
      <c r="D66" s="6" t="inlineStr">
        <is>
          <t>HKSA</t>
        </is>
      </c>
      <c r="E66" s="6" t="inlineStr">
        <is>
          <t>Sheet1!M10</t>
        </is>
      </c>
      <c r="F66" s="6" t="n">
        <v>40185</v>
      </c>
    </row>
  </sheetData>
  <autoFilter ref="B3:F66"/>
  <mergeCells count="1">
    <mergeCell ref="B1:F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F18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8" customWidth="1" min="4" max="4"/>
    <col width="20" customWidth="1" min="5" max="5"/>
    <col width="18" customWidth="1" min="6" max="6"/>
  </cols>
  <sheetData>
    <row r="1" ht="28" customHeight="1">
      <c r="B1" s="1" t="inlineStr">
        <is>
          <t>逐重复派生指标（全部公式）</t>
        </is>
      </c>
    </row>
    <row r="3" ht="30" customHeight="1">
      <c r="B3" s="5" t="inlineStr">
        <is>
          <t>指标</t>
        </is>
      </c>
      <c r="C3" s="5" t="inlineStr">
        <is>
          <t>重复</t>
        </is>
      </c>
      <c r="D3" s="5" t="inlineStr">
        <is>
          <t>Control</t>
        </is>
      </c>
      <c r="E3" s="5" t="inlineStr">
        <is>
          <t>HKSA+Baicalein</t>
        </is>
      </c>
      <c r="F3" s="5" t="inlineStr">
        <is>
          <t>HKSA</t>
        </is>
      </c>
    </row>
    <row r="4">
      <c r="B4" s="6" t="inlineStr">
        <is>
          <t>p-IκBα/IκBα</t>
        </is>
      </c>
      <c r="C4" s="6" t="inlineStr">
        <is>
          <t>rep1</t>
        </is>
      </c>
      <c r="D4" s="9">
        <f>'原始灰度'!C4/'原始灰度'!C5</f>
        <v/>
      </c>
      <c r="E4" s="9">
        <f>'原始灰度'!D4/'原始灰度'!D5</f>
        <v/>
      </c>
      <c r="F4" s="9">
        <f>'原始灰度'!E4/'原始灰度'!E5</f>
        <v/>
      </c>
    </row>
    <row r="5">
      <c r="B5" s="6" t="inlineStr">
        <is>
          <t>p-IκBα/IκBα</t>
        </is>
      </c>
      <c r="C5" s="6" t="inlineStr">
        <is>
          <t>rep2</t>
        </is>
      </c>
      <c r="D5" s="9">
        <f>'原始灰度'!F4/'原始灰度'!F5</f>
        <v/>
      </c>
      <c r="E5" s="9">
        <f>'原始灰度'!G4/'原始灰度'!G5</f>
        <v/>
      </c>
      <c r="F5" s="9">
        <f>'原始灰度'!H4/'原始灰度'!H5</f>
        <v/>
      </c>
    </row>
    <row r="6">
      <c r="B6" s="6" t="inlineStr">
        <is>
          <t>p-IκBα/IκBα</t>
        </is>
      </c>
      <c r="C6" s="6" t="inlineStr">
        <is>
          <t>rep3</t>
        </is>
      </c>
      <c r="D6" s="9">
        <f>'原始灰度'!I4/'原始灰度'!I5</f>
        <v/>
      </c>
      <c r="E6" s="9">
        <f>'原始灰度'!J4/'原始灰度'!J5</f>
        <v/>
      </c>
      <c r="F6" s="9">
        <f>'原始灰度'!K4/'原始灰度'!K5</f>
        <v/>
      </c>
    </row>
    <row r="7">
      <c r="B7" s="6" t="inlineStr">
        <is>
          <t>p-p65/p65</t>
        </is>
      </c>
      <c r="C7" s="6" t="inlineStr">
        <is>
          <t>rep1</t>
        </is>
      </c>
      <c r="D7" s="9">
        <f>'原始灰度'!C6/'原始灰度'!C7</f>
        <v/>
      </c>
      <c r="E7" s="9">
        <f>'原始灰度'!D6/'原始灰度'!D7</f>
        <v/>
      </c>
      <c r="F7" s="9">
        <f>'原始灰度'!E6/'原始灰度'!E7</f>
        <v/>
      </c>
    </row>
    <row r="8">
      <c r="B8" s="6" t="inlineStr">
        <is>
          <t>p-p65/p65</t>
        </is>
      </c>
      <c r="C8" s="6" t="inlineStr">
        <is>
          <t>rep2</t>
        </is>
      </c>
      <c r="D8" s="9">
        <f>'原始灰度'!F6/'原始灰度'!F7</f>
        <v/>
      </c>
      <c r="E8" s="9">
        <f>'原始灰度'!G6/'原始灰度'!G7</f>
        <v/>
      </c>
      <c r="F8" s="9">
        <f>'原始灰度'!H6/'原始灰度'!H7</f>
        <v/>
      </c>
    </row>
    <row r="9">
      <c r="B9" s="6" t="inlineStr">
        <is>
          <t>p-p65/p65</t>
        </is>
      </c>
      <c r="C9" s="6" t="inlineStr">
        <is>
          <t>rep3</t>
        </is>
      </c>
      <c r="D9" s="9">
        <f>'原始灰度'!I6/'原始灰度'!I7</f>
        <v/>
      </c>
      <c r="E9" s="9">
        <f>'原始灰度'!J6/'原始灰度'!J7</f>
        <v/>
      </c>
      <c r="F9" s="9">
        <f>'原始灰度'!K6/'原始灰度'!K7</f>
        <v/>
      </c>
    </row>
    <row r="10">
      <c r="B10" s="6" t="inlineStr">
        <is>
          <t>Nuclear/Cytoplasmic p65</t>
        </is>
      </c>
      <c r="C10" s="6" t="inlineStr">
        <is>
          <t>rep1</t>
        </is>
      </c>
      <c r="D10" s="9">
        <f>'原始灰度'!C8/'原始灰度'!C9</f>
        <v/>
      </c>
      <c r="E10" s="9">
        <f>'原始灰度'!D8/'原始灰度'!D9</f>
        <v/>
      </c>
      <c r="F10" s="9">
        <f>'原始灰度'!E8/'原始灰度'!E9</f>
        <v/>
      </c>
    </row>
    <row r="11">
      <c r="B11" s="6" t="inlineStr">
        <is>
          <t>Nuclear/Cytoplasmic p65</t>
        </is>
      </c>
      <c r="C11" s="6" t="inlineStr">
        <is>
          <t>rep2</t>
        </is>
      </c>
      <c r="D11" s="9">
        <f>'原始灰度'!F8/'原始灰度'!F9</f>
        <v/>
      </c>
      <c r="E11" s="9">
        <f>'原始灰度'!G8/'原始灰度'!G9</f>
        <v/>
      </c>
      <c r="F11" s="9">
        <f>'原始灰度'!H8/'原始灰度'!H9</f>
        <v/>
      </c>
    </row>
    <row r="12">
      <c r="B12" s="6" t="inlineStr">
        <is>
          <t>Nuclear/Cytoplasmic p65</t>
        </is>
      </c>
      <c r="C12" s="6" t="inlineStr">
        <is>
          <t>rep3</t>
        </is>
      </c>
      <c r="D12" s="9">
        <f>'原始灰度'!I8/'原始灰度'!I9</f>
        <v/>
      </c>
      <c r="E12" s="9">
        <f>'原始灰度'!J8/'原始灰度'!J9</f>
        <v/>
      </c>
      <c r="F12" s="9">
        <f>'原始灰度'!K8/'原始灰度'!K9</f>
        <v/>
      </c>
    </row>
    <row r="13">
      <c r="B13" s="6" t="inlineStr">
        <is>
          <t>Nuclear p65 fraction</t>
        </is>
      </c>
      <c r="C13" s="6" t="inlineStr">
        <is>
          <t>rep1</t>
        </is>
      </c>
      <c r="D13" s="9">
        <f>'原始灰度'!C8/('原始灰度'!C8+'原始灰度'!C9)</f>
        <v/>
      </c>
      <c r="E13" s="9">
        <f>'原始灰度'!D8/('原始灰度'!D8+'原始灰度'!D9)</f>
        <v/>
      </c>
      <c r="F13" s="9">
        <f>'原始灰度'!E8/('原始灰度'!E8+'原始灰度'!E9)</f>
        <v/>
      </c>
    </row>
    <row r="14">
      <c r="B14" s="6" t="inlineStr">
        <is>
          <t>Nuclear p65 fraction</t>
        </is>
      </c>
      <c r="C14" s="6" t="inlineStr">
        <is>
          <t>rep2</t>
        </is>
      </c>
      <c r="D14" s="9">
        <f>'原始灰度'!F8/('原始灰度'!F8+'原始灰度'!F9)</f>
        <v/>
      </c>
      <c r="E14" s="9">
        <f>'原始灰度'!G8/('原始灰度'!G8+'原始灰度'!G9)</f>
        <v/>
      </c>
      <c r="F14" s="9">
        <f>'原始灰度'!H8/('原始灰度'!H8+'原始灰度'!H9)</f>
        <v/>
      </c>
    </row>
    <row r="15">
      <c r="B15" s="6" t="inlineStr">
        <is>
          <t>Nuclear p65 fraction</t>
        </is>
      </c>
      <c r="C15" s="6" t="inlineStr">
        <is>
          <t>rep3</t>
        </is>
      </c>
      <c r="D15" s="9">
        <f>'原始灰度'!I8/('原始灰度'!I8+'原始灰度'!I9)</f>
        <v/>
      </c>
      <c r="E15" s="9">
        <f>'原始灰度'!J8/('原始灰度'!J8+'原始灰度'!J9)</f>
        <v/>
      </c>
      <c r="F15" s="9">
        <f>'原始灰度'!K8/('原始灰度'!K8+'原始灰度'!K9)</f>
        <v/>
      </c>
    </row>
    <row r="16">
      <c r="B16" s="6" t="inlineStr">
        <is>
          <t>Cytoplasmic p65 fraction</t>
        </is>
      </c>
      <c r="C16" s="6" t="inlineStr">
        <is>
          <t>rep1</t>
        </is>
      </c>
      <c r="D16" s="9">
        <f>'原始灰度'!C9/('原始灰度'!C8+'原始灰度'!C9)</f>
        <v/>
      </c>
      <c r="E16" s="9">
        <f>'原始灰度'!D9/('原始灰度'!D8+'原始灰度'!D9)</f>
        <v/>
      </c>
      <c r="F16" s="9">
        <f>'原始灰度'!E9/('原始灰度'!E8+'原始灰度'!E9)</f>
        <v/>
      </c>
    </row>
    <row r="17">
      <c r="B17" s="6" t="inlineStr">
        <is>
          <t>Cytoplasmic p65 fraction</t>
        </is>
      </c>
      <c r="C17" s="6" t="inlineStr">
        <is>
          <t>rep2</t>
        </is>
      </c>
      <c r="D17" s="9">
        <f>'原始灰度'!F9/('原始灰度'!F8+'原始灰度'!F9)</f>
        <v/>
      </c>
      <c r="E17" s="9">
        <f>'原始灰度'!G9/('原始灰度'!G8+'原始灰度'!G9)</f>
        <v/>
      </c>
      <c r="F17" s="9">
        <f>'原始灰度'!H9/('原始灰度'!H8+'原始灰度'!H9)</f>
        <v/>
      </c>
    </row>
    <row r="18">
      <c r="B18" s="6" t="inlineStr">
        <is>
          <t>Cytoplasmic p65 fraction</t>
        </is>
      </c>
      <c r="C18" s="6" t="inlineStr">
        <is>
          <t>rep3</t>
        </is>
      </c>
      <c r="D18" s="9">
        <f>'原始灰度'!I9/('原始灰度'!I8+'原始灰度'!I9)</f>
        <v/>
      </c>
      <c r="E18" s="9">
        <f>'原始灰度'!J9/('原始灰度'!J8+'原始灰度'!J9)</f>
        <v/>
      </c>
      <c r="F18" s="9">
        <f>'原始灰度'!K9/('原始灰度'!K8+'原始灰度'!K9)</f>
        <v/>
      </c>
    </row>
  </sheetData>
  <mergeCells count="1">
    <mergeCell ref="B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F13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8" customWidth="1" min="4" max="4"/>
    <col width="20" customWidth="1" min="5" max="5"/>
    <col width="18" customWidth="1" min="6" max="6"/>
  </cols>
  <sheetData>
    <row r="1" ht="28" customHeight="1">
      <c r="B1" s="1" t="inlineStr">
        <is>
          <t>组均值与样本标准差（n=3，全部公式）</t>
        </is>
      </c>
    </row>
    <row r="3" ht="30" customHeight="1">
      <c r="B3" s="5" t="inlineStr">
        <is>
          <t>指标</t>
        </is>
      </c>
      <c r="C3" s="5" t="inlineStr">
        <is>
          <t>统计量</t>
        </is>
      </c>
      <c r="D3" s="5" t="inlineStr">
        <is>
          <t>Control</t>
        </is>
      </c>
      <c r="E3" s="5" t="inlineStr">
        <is>
          <t>HKSA+Baicalein</t>
        </is>
      </c>
      <c r="F3" s="5" t="inlineStr">
        <is>
          <t>HKSA</t>
        </is>
      </c>
    </row>
    <row r="4">
      <c r="B4" s="6" t="inlineStr">
        <is>
          <t>p-IκBα/IκBα</t>
        </is>
      </c>
      <c r="C4" s="6" t="inlineStr">
        <is>
          <t>Mean</t>
        </is>
      </c>
      <c r="D4" s="9">
        <f>AVERAGE('逐重复计算'!D4,'逐重复计算'!D5,'逐重复计算'!D6)</f>
        <v/>
      </c>
      <c r="E4" s="9">
        <f>AVERAGE('逐重复计算'!E4,'逐重复计算'!E5,'逐重复计算'!E6)</f>
        <v/>
      </c>
      <c r="F4" s="9">
        <f>AVERAGE('逐重复计算'!F4,'逐重复计算'!F5,'逐重复计算'!F6)</f>
        <v/>
      </c>
    </row>
    <row r="5">
      <c r="B5" s="6" t="n"/>
      <c r="C5" s="6" t="inlineStr">
        <is>
          <t>Sample SD</t>
        </is>
      </c>
      <c r="D5" s="9">
        <f>STDEV.S('逐重复计算'!D4,'逐重复计算'!D5,'逐重复计算'!D6)</f>
        <v/>
      </c>
      <c r="E5" s="9">
        <f>STDEV.S('逐重复计算'!E4,'逐重复计算'!E5,'逐重复计算'!E6)</f>
        <v/>
      </c>
      <c r="F5" s="9">
        <f>STDEV.S('逐重复计算'!F4,'逐重复计算'!F5,'逐重复计算'!F6)</f>
        <v/>
      </c>
    </row>
    <row r="6">
      <c r="B6" s="6" t="inlineStr">
        <is>
          <t>p-p65/p65</t>
        </is>
      </c>
      <c r="C6" s="6" t="inlineStr">
        <is>
          <t>Mean</t>
        </is>
      </c>
      <c r="D6" s="9">
        <f>AVERAGE('逐重复计算'!D7,'逐重复计算'!D8,'逐重复计算'!D9)</f>
        <v/>
      </c>
      <c r="E6" s="9">
        <f>AVERAGE('逐重复计算'!E7,'逐重复计算'!E8,'逐重复计算'!E9)</f>
        <v/>
      </c>
      <c r="F6" s="9">
        <f>AVERAGE('逐重复计算'!F7,'逐重复计算'!F8,'逐重复计算'!F9)</f>
        <v/>
      </c>
    </row>
    <row r="7">
      <c r="B7" s="6" t="n"/>
      <c r="C7" s="6" t="inlineStr">
        <is>
          <t>Sample SD</t>
        </is>
      </c>
      <c r="D7" s="9">
        <f>STDEV.S('逐重复计算'!D7,'逐重复计算'!D8,'逐重复计算'!D9)</f>
        <v/>
      </c>
      <c r="E7" s="9">
        <f>STDEV.S('逐重复计算'!E7,'逐重复计算'!E8,'逐重复计算'!E9)</f>
        <v/>
      </c>
      <c r="F7" s="9">
        <f>STDEV.S('逐重复计算'!F7,'逐重复计算'!F8,'逐重复计算'!F9)</f>
        <v/>
      </c>
    </row>
    <row r="8">
      <c r="B8" s="6" t="inlineStr">
        <is>
          <t>Nuclear/Cytoplasmic p65</t>
        </is>
      </c>
      <c r="C8" s="6" t="inlineStr">
        <is>
          <t>Mean</t>
        </is>
      </c>
      <c r="D8" s="9">
        <f>AVERAGE('逐重复计算'!D10,'逐重复计算'!D11,'逐重复计算'!D12)</f>
        <v/>
      </c>
      <c r="E8" s="9">
        <f>AVERAGE('逐重复计算'!E10,'逐重复计算'!E11,'逐重复计算'!E12)</f>
        <v/>
      </c>
      <c r="F8" s="9">
        <f>AVERAGE('逐重复计算'!F10,'逐重复计算'!F11,'逐重复计算'!F12)</f>
        <v/>
      </c>
    </row>
    <row r="9">
      <c r="B9" s="6" t="n"/>
      <c r="C9" s="6" t="inlineStr">
        <is>
          <t>Sample SD</t>
        </is>
      </c>
      <c r="D9" s="9">
        <f>STDEV.S('逐重复计算'!D10,'逐重复计算'!D11,'逐重复计算'!D12)</f>
        <v/>
      </c>
      <c r="E9" s="9">
        <f>STDEV.S('逐重复计算'!E10,'逐重复计算'!E11,'逐重复计算'!E12)</f>
        <v/>
      </c>
      <c r="F9" s="9">
        <f>STDEV.S('逐重复计算'!F10,'逐重复计算'!F11,'逐重复计算'!F12)</f>
        <v/>
      </c>
    </row>
    <row r="10">
      <c r="B10" s="6" t="inlineStr">
        <is>
          <t>Nuclear p65 fraction</t>
        </is>
      </c>
      <c r="C10" s="6" t="inlineStr">
        <is>
          <t>Mean</t>
        </is>
      </c>
      <c r="D10" s="9">
        <f>AVERAGE('逐重复计算'!D13,'逐重复计算'!D14,'逐重复计算'!D15)</f>
        <v/>
      </c>
      <c r="E10" s="9">
        <f>AVERAGE('逐重复计算'!E13,'逐重复计算'!E14,'逐重复计算'!E15)</f>
        <v/>
      </c>
      <c r="F10" s="9">
        <f>AVERAGE('逐重复计算'!F13,'逐重复计算'!F14,'逐重复计算'!F15)</f>
        <v/>
      </c>
    </row>
    <row r="11">
      <c r="B11" s="6" t="n"/>
      <c r="C11" s="6" t="inlineStr">
        <is>
          <t>Sample SD</t>
        </is>
      </c>
      <c r="D11" s="9">
        <f>STDEV.S('逐重复计算'!D13,'逐重复计算'!D14,'逐重复计算'!D15)</f>
        <v/>
      </c>
      <c r="E11" s="9">
        <f>STDEV.S('逐重复计算'!E13,'逐重复计算'!E14,'逐重复计算'!E15)</f>
        <v/>
      </c>
      <c r="F11" s="9">
        <f>STDEV.S('逐重复计算'!F13,'逐重复计算'!F14,'逐重复计算'!F15)</f>
        <v/>
      </c>
    </row>
    <row r="12">
      <c r="B12" s="6" t="inlineStr">
        <is>
          <t>Cytoplasmic p65 fraction</t>
        </is>
      </c>
      <c r="C12" s="6" t="inlineStr">
        <is>
          <t>Mean</t>
        </is>
      </c>
      <c r="D12" s="9">
        <f>AVERAGE('逐重复计算'!D16,'逐重复计算'!D17,'逐重复计算'!D18)</f>
        <v/>
      </c>
      <c r="E12" s="9">
        <f>AVERAGE('逐重复计算'!E16,'逐重复计算'!E17,'逐重复计算'!E18)</f>
        <v/>
      </c>
      <c r="F12" s="9">
        <f>AVERAGE('逐重复计算'!F16,'逐重复计算'!F17,'逐重复计算'!F18)</f>
        <v/>
      </c>
    </row>
    <row r="13">
      <c r="B13" s="6" t="n"/>
      <c r="C13" s="6" t="inlineStr">
        <is>
          <t>Sample SD</t>
        </is>
      </c>
      <c r="D13" s="9">
        <f>STDEV.S('逐重复计算'!D16,'逐重复计算'!D17,'逐重复计算'!D18)</f>
        <v/>
      </c>
      <c r="E13" s="9">
        <f>STDEV.S('逐重复计算'!E16,'逐重复计算'!E17,'逐重复计算'!E18)</f>
        <v/>
      </c>
      <c r="F13" s="9">
        <f>STDEV.S('逐重复计算'!F16,'逐重复计算'!F17,'逐重复计算'!F18)</f>
        <v/>
      </c>
    </row>
  </sheetData>
  <mergeCells count="1">
    <mergeCell ref="B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J8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 ht="28" customHeight="1">
      <c r="B1" s="1" t="inlineStr">
        <is>
          <t>单因素方差分析（公式）</t>
        </is>
      </c>
    </row>
    <row r="3" ht="30" customHeight="1">
      <c r="B3" s="5" t="inlineStr">
        <is>
          <t>指标</t>
        </is>
      </c>
      <c r="C3" s="5" t="inlineStr">
        <is>
          <t>N</t>
        </is>
      </c>
      <c r="D3" s="5" t="inlineStr">
        <is>
          <t>df between</t>
        </is>
      </c>
      <c r="E3" s="5" t="inlineStr">
        <is>
          <t>df error</t>
        </is>
      </c>
      <c r="F3" s="5" t="inlineStr">
        <is>
          <t>SS between</t>
        </is>
      </c>
      <c r="G3" s="5" t="inlineStr">
        <is>
          <t>SS error</t>
        </is>
      </c>
      <c r="H3" s="5" t="inlineStr">
        <is>
          <t>MS error</t>
        </is>
      </c>
      <c r="I3" s="5" t="inlineStr">
        <is>
          <t>F</t>
        </is>
      </c>
      <c r="J3" s="5" t="inlineStr">
        <is>
          <t>P</t>
        </is>
      </c>
    </row>
    <row r="4">
      <c r="B4" s="6" t="inlineStr">
        <is>
          <t>p-IκBα/IκBα</t>
        </is>
      </c>
      <c r="C4" s="6" t="n">
        <v>9</v>
      </c>
      <c r="D4" s="6" t="n">
        <v>2</v>
      </c>
      <c r="E4" s="6" t="n">
        <v>6</v>
      </c>
      <c r="F4" s="7">
        <f>3*SUMPRODUCT(('组均值与SD'!D4:F4-AVERAGE('组均值与SD'!D4:F4))^2)</f>
        <v/>
      </c>
      <c r="G4" s="7">
        <f>2*SUMPRODUCT('组均值与SD'!D5:F5^2)</f>
        <v/>
      </c>
      <c r="H4" s="7">
        <f>G4/E4</f>
        <v/>
      </c>
      <c r="I4" s="7">
        <f>(F4/C4)/H4</f>
        <v/>
      </c>
      <c r="J4" s="7">
        <f>F.DIST.RT(I4,D4,E4)</f>
        <v/>
      </c>
    </row>
    <row r="5">
      <c r="B5" s="6" t="inlineStr">
        <is>
          <t>p-p65/p65</t>
        </is>
      </c>
      <c r="C5" s="6" t="n">
        <v>9</v>
      </c>
      <c r="D5" s="6" t="n">
        <v>2</v>
      </c>
      <c r="E5" s="6" t="n">
        <v>6</v>
      </c>
      <c r="F5" s="7">
        <f>3*SUMPRODUCT(('组均值与SD'!D6:F6-AVERAGE('组均值与SD'!D6:F6))^2)</f>
        <v/>
      </c>
      <c r="G5" s="7">
        <f>2*SUMPRODUCT('组均值与SD'!D7:F7^2)</f>
        <v/>
      </c>
      <c r="H5" s="7">
        <f>G5/E5</f>
        <v/>
      </c>
      <c r="I5" s="7">
        <f>(F5/C5)/H5</f>
        <v/>
      </c>
      <c r="J5" s="7">
        <f>F.DIST.RT(I5,D5,E5)</f>
        <v/>
      </c>
    </row>
    <row r="6">
      <c r="B6" s="6" t="inlineStr">
        <is>
          <t>Nuclear/Cytoplasmic p65</t>
        </is>
      </c>
      <c r="C6" s="6" t="n">
        <v>9</v>
      </c>
      <c r="D6" s="6" t="n">
        <v>2</v>
      </c>
      <c r="E6" s="6" t="n">
        <v>6</v>
      </c>
      <c r="F6" s="7">
        <f>3*SUMPRODUCT(('组均值与SD'!D8:F8-AVERAGE('组均值与SD'!D8:F8))^2)</f>
        <v/>
      </c>
      <c r="G6" s="7">
        <f>2*SUMPRODUCT('组均值与SD'!D9:F9^2)</f>
        <v/>
      </c>
      <c r="H6" s="7">
        <f>G6/E6</f>
        <v/>
      </c>
      <c r="I6" s="7">
        <f>(F6/C6)/H6</f>
        <v/>
      </c>
      <c r="J6" s="7">
        <f>F.DIST.RT(I6,D6,E6)</f>
        <v/>
      </c>
    </row>
    <row r="7">
      <c r="B7" s="6" t="inlineStr">
        <is>
          <t>Nuclear p65 fraction</t>
        </is>
      </c>
      <c r="C7" s="6" t="n">
        <v>9</v>
      </c>
      <c r="D7" s="6" t="n">
        <v>2</v>
      </c>
      <c r="E7" s="6" t="n">
        <v>6</v>
      </c>
      <c r="F7" s="7">
        <f>3*SUMPRODUCT(('组均值与SD'!D10:F10-AVERAGE('组均值与SD'!D10:F10))^2)</f>
        <v/>
      </c>
      <c r="G7" s="7">
        <f>2*SUMPRODUCT('组均值与SD'!D11:F11^2)</f>
        <v/>
      </c>
      <c r="H7" s="7">
        <f>G7/E7</f>
        <v/>
      </c>
      <c r="I7" s="7">
        <f>(F7/C7)/H7</f>
        <v/>
      </c>
      <c r="J7" s="7">
        <f>F.DIST.RT(I7,D7,E7)</f>
        <v/>
      </c>
    </row>
    <row r="8">
      <c r="B8" s="6" t="inlineStr">
        <is>
          <t>Cytoplasmic p65 fraction</t>
        </is>
      </c>
      <c r="C8" s="6" t="n">
        <v>9</v>
      </c>
      <c r="D8" s="6" t="n">
        <v>2</v>
      </c>
      <c r="E8" s="6" t="n">
        <v>6</v>
      </c>
      <c r="F8" s="7">
        <f>3*SUMPRODUCT(('组均值与SD'!D12:F12-AVERAGE('组均值与SD'!D12:F12))^2)</f>
        <v/>
      </c>
      <c r="G8" s="7">
        <f>2*SUMPRODUCT('组均值与SD'!D13:F13^2)</f>
        <v/>
      </c>
      <c r="H8" s="7">
        <f>G8/E8</f>
        <v/>
      </c>
      <c r="I8" s="7">
        <f>(F8/C8)/H8</f>
        <v/>
      </c>
      <c r="J8" s="7">
        <f>F.DIST.RT(I8,D8,E8)</f>
        <v/>
      </c>
    </row>
  </sheetData>
  <mergeCells count="1">
    <mergeCell ref="B1:I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I18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26" customWidth="1" min="3" max="3"/>
    <col width="14" customWidth="1" min="4" max="4"/>
    <col width="14" customWidth="1" min="5" max="5"/>
    <col width="14" customWidth="1" min="6" max="6"/>
    <col width="10" customWidth="1" min="7" max="7"/>
    <col width="16" customWidth="1" min="8" max="8"/>
    <col width="18" customWidth="1" min="9" max="9"/>
  </cols>
  <sheetData>
    <row r="1" ht="28" customHeight="1">
      <c r="B1" s="1" t="inlineStr">
        <is>
          <t>两两 Student t 检验与 Bonferroni 校正（公式）</t>
        </is>
      </c>
    </row>
    <row r="3" ht="30" customHeight="1">
      <c r="B3" s="5" t="inlineStr">
        <is>
          <t>指标</t>
        </is>
      </c>
      <c r="C3" s="5" t="inlineStr">
        <is>
          <t>比较</t>
        </is>
      </c>
      <c r="D3" s="5" t="inlineStr">
        <is>
          <t>均值1</t>
        </is>
      </c>
      <c r="E3" s="5" t="inlineStr">
        <is>
          <t>均值2</t>
        </is>
      </c>
      <c r="F3" s="5" t="inlineStr">
        <is>
          <t>t</t>
        </is>
      </c>
      <c r="G3" s="5" t="inlineStr">
        <is>
          <t>df</t>
        </is>
      </c>
      <c r="H3" s="5" t="inlineStr">
        <is>
          <t>原始 P</t>
        </is>
      </c>
      <c r="I3" s="5" t="inlineStr">
        <is>
          <t>Bonferroni P</t>
        </is>
      </c>
    </row>
    <row r="4">
      <c r="B4" s="6" t="inlineStr">
        <is>
          <t>p-IκBα/IκBα</t>
        </is>
      </c>
      <c r="C4" s="6" t="inlineStr">
        <is>
          <t>Control vs HKSA+Baicalein</t>
        </is>
      </c>
      <c r="D4" s="7">
        <f>'组均值与SD'!D4</f>
        <v/>
      </c>
      <c r="E4" s="7">
        <f>'组均值与SD'!E4</f>
        <v/>
      </c>
      <c r="F4" s="7">
        <f>(D4-E4)/SQRT('组均值与SD'!D5^2/3+'组均值与SD'!E5^2/3)</f>
        <v/>
      </c>
      <c r="G4" s="6" t="n">
        <v>4</v>
      </c>
      <c r="H4" s="7">
        <f>T.DIST.2T(ABS(F4),G4)</f>
        <v/>
      </c>
      <c r="I4" s="7">
        <f>MIN(1,3*H4)</f>
        <v/>
      </c>
    </row>
    <row r="5">
      <c r="B5" s="6" t="inlineStr">
        <is>
          <t>p-IκBα/IκBα</t>
        </is>
      </c>
      <c r="C5" s="6" t="inlineStr">
        <is>
          <t>Control vs HKSA</t>
        </is>
      </c>
      <c r="D5" s="7">
        <f>'组均值与SD'!D4</f>
        <v/>
      </c>
      <c r="E5" s="7">
        <f>'组均值与SD'!F4</f>
        <v/>
      </c>
      <c r="F5" s="7">
        <f>(D5-E5)/SQRT('组均值与SD'!D5^2/3+'组均值与SD'!F5^2/3)</f>
        <v/>
      </c>
      <c r="G5" s="6" t="n">
        <v>4</v>
      </c>
      <c r="H5" s="7">
        <f>T.DIST.2T(ABS(F5),G5)</f>
        <v/>
      </c>
      <c r="I5" s="7">
        <f>MIN(1,3*H5)</f>
        <v/>
      </c>
    </row>
    <row r="6">
      <c r="B6" s="6" t="inlineStr">
        <is>
          <t>p-IκBα/IκBα</t>
        </is>
      </c>
      <c r="C6" s="6" t="inlineStr">
        <is>
          <t>HKSA+Baicalein vs HKSA</t>
        </is>
      </c>
      <c r="D6" s="7">
        <f>'组均值与SD'!E4</f>
        <v/>
      </c>
      <c r="E6" s="7">
        <f>'组均值与SD'!F4</f>
        <v/>
      </c>
      <c r="F6" s="7">
        <f>(D6-E6)/SQRT('组均值与SD'!E5^2/3+'组均值与SD'!F5^2/3)</f>
        <v/>
      </c>
      <c r="G6" s="6" t="n">
        <v>4</v>
      </c>
      <c r="H6" s="7">
        <f>T.DIST.2T(ABS(F6),G6)</f>
        <v/>
      </c>
      <c r="I6" s="7">
        <f>MIN(1,3*H6)</f>
        <v/>
      </c>
    </row>
    <row r="7">
      <c r="B7" s="6" t="inlineStr">
        <is>
          <t>p-p65/p65</t>
        </is>
      </c>
      <c r="C7" s="6" t="inlineStr">
        <is>
          <t>Control vs HKSA+Baicalein</t>
        </is>
      </c>
      <c r="D7" s="7">
        <f>'组均值与SD'!D6</f>
        <v/>
      </c>
      <c r="E7" s="7">
        <f>'组均值与SD'!E6</f>
        <v/>
      </c>
      <c r="F7" s="7">
        <f>(D7-E7)/SQRT('组均值与SD'!D7^2/3+'组均值与SD'!E7^2/3)</f>
        <v/>
      </c>
      <c r="G7" s="6" t="n">
        <v>4</v>
      </c>
      <c r="H7" s="7">
        <f>T.DIST.2T(ABS(F7),G7)</f>
        <v/>
      </c>
      <c r="I7" s="7">
        <f>MIN(1,3*H7)</f>
        <v/>
      </c>
    </row>
    <row r="8">
      <c r="B8" s="6" t="inlineStr">
        <is>
          <t>p-p65/p65</t>
        </is>
      </c>
      <c r="C8" s="6" t="inlineStr">
        <is>
          <t>Control vs HKSA</t>
        </is>
      </c>
      <c r="D8" s="7">
        <f>'组均值与SD'!D6</f>
        <v/>
      </c>
      <c r="E8" s="7">
        <f>'组均值与SD'!F6</f>
        <v/>
      </c>
      <c r="F8" s="7">
        <f>(D8-E8)/SQRT('组均值与SD'!D7^2/3+'组均值与SD'!F7^2/3)</f>
        <v/>
      </c>
      <c r="G8" s="6" t="n">
        <v>4</v>
      </c>
      <c r="H8" s="7">
        <f>T.DIST.2T(ABS(F8),G8)</f>
        <v/>
      </c>
      <c r="I8" s="7">
        <f>MIN(1,3*H8)</f>
        <v/>
      </c>
    </row>
    <row r="9">
      <c r="B9" s="6" t="inlineStr">
        <is>
          <t>p-p65/p65</t>
        </is>
      </c>
      <c r="C9" s="6" t="inlineStr">
        <is>
          <t>HKSA+Baicalein vs HKSA</t>
        </is>
      </c>
      <c r="D9" s="7">
        <f>'组均值与SD'!E6</f>
        <v/>
      </c>
      <c r="E9" s="7">
        <f>'组均值与SD'!F6</f>
        <v/>
      </c>
      <c r="F9" s="7">
        <f>(D9-E9)/SQRT('组均值与SD'!E7^2/3+'组均值与SD'!F7^2/3)</f>
        <v/>
      </c>
      <c r="G9" s="6" t="n">
        <v>4</v>
      </c>
      <c r="H9" s="7">
        <f>T.DIST.2T(ABS(F9),G9)</f>
        <v/>
      </c>
      <c r="I9" s="7">
        <f>MIN(1,3*H9)</f>
        <v/>
      </c>
    </row>
    <row r="10">
      <c r="B10" s="6" t="inlineStr">
        <is>
          <t>Nuclear/Cytoplasmic p65</t>
        </is>
      </c>
      <c r="C10" s="6" t="inlineStr">
        <is>
          <t>Control vs HKSA+Baicalein</t>
        </is>
      </c>
      <c r="D10" s="7">
        <f>'组均值与SD'!D8</f>
        <v/>
      </c>
      <c r="E10" s="7">
        <f>'组均值与SD'!E8</f>
        <v/>
      </c>
      <c r="F10" s="7">
        <f>(D10-E10)/SQRT('组均值与SD'!D9^2/3+'组均值与SD'!E9^2/3)</f>
        <v/>
      </c>
      <c r="G10" s="6" t="n">
        <v>4</v>
      </c>
      <c r="H10" s="7">
        <f>T.DIST.2T(ABS(F10),G10)</f>
        <v/>
      </c>
      <c r="I10" s="7">
        <f>MIN(1,3*H10)</f>
        <v/>
      </c>
    </row>
    <row r="11">
      <c r="B11" s="6" t="inlineStr">
        <is>
          <t>Nuclear/Cytoplasmic p65</t>
        </is>
      </c>
      <c r="C11" s="6" t="inlineStr">
        <is>
          <t>Control vs HKSA</t>
        </is>
      </c>
      <c r="D11" s="7">
        <f>'组均值与SD'!D8</f>
        <v/>
      </c>
      <c r="E11" s="7">
        <f>'组均值与SD'!F8</f>
        <v/>
      </c>
      <c r="F11" s="7">
        <f>(D11-E11)/SQRT('组均值与SD'!D9^2/3+'组均值与SD'!F9^2/3)</f>
        <v/>
      </c>
      <c r="G11" s="6" t="n">
        <v>4</v>
      </c>
      <c r="H11" s="7">
        <f>T.DIST.2T(ABS(F11),G11)</f>
        <v/>
      </c>
      <c r="I11" s="7">
        <f>MIN(1,3*H11)</f>
        <v/>
      </c>
    </row>
    <row r="12">
      <c r="B12" s="6" t="inlineStr">
        <is>
          <t>Nuclear/Cytoplasmic p65</t>
        </is>
      </c>
      <c r="C12" s="6" t="inlineStr">
        <is>
          <t>HKSA+Baicalein vs HKSA</t>
        </is>
      </c>
      <c r="D12" s="7">
        <f>'组均值与SD'!E8</f>
        <v/>
      </c>
      <c r="E12" s="7">
        <f>'组均值与SD'!F8</f>
        <v/>
      </c>
      <c r="F12" s="7">
        <f>(D12-E12)/SQRT('组均值与SD'!E9^2/3+'组均值与SD'!F9^2/3)</f>
        <v/>
      </c>
      <c r="G12" s="6" t="n">
        <v>4</v>
      </c>
      <c r="H12" s="7">
        <f>T.DIST.2T(ABS(F12),G12)</f>
        <v/>
      </c>
      <c r="I12" s="7">
        <f>MIN(1,3*H12)</f>
        <v/>
      </c>
    </row>
    <row r="13">
      <c r="B13" s="6" t="inlineStr">
        <is>
          <t>Nuclear p65 fraction</t>
        </is>
      </c>
      <c r="C13" s="6" t="inlineStr">
        <is>
          <t>Control vs HKSA+Baicalein</t>
        </is>
      </c>
      <c r="D13" s="7">
        <f>'组均值与SD'!D10</f>
        <v/>
      </c>
      <c r="E13" s="7">
        <f>'组均值与SD'!E10</f>
        <v/>
      </c>
      <c r="F13" s="7">
        <f>(D13-E13)/SQRT('组均值与SD'!D11^2/3+'组均值与SD'!E11^2/3)</f>
        <v/>
      </c>
      <c r="G13" s="6" t="n">
        <v>4</v>
      </c>
      <c r="H13" s="7">
        <f>T.DIST.2T(ABS(F13),G13)</f>
        <v/>
      </c>
      <c r="I13" s="7">
        <f>MIN(1,3*H13)</f>
        <v/>
      </c>
    </row>
    <row r="14">
      <c r="B14" s="6" t="inlineStr">
        <is>
          <t>Nuclear p65 fraction</t>
        </is>
      </c>
      <c r="C14" s="6" t="inlineStr">
        <is>
          <t>Control vs HKSA</t>
        </is>
      </c>
      <c r="D14" s="7">
        <f>'组均值与SD'!D10</f>
        <v/>
      </c>
      <c r="E14" s="7">
        <f>'组均值与SD'!F10</f>
        <v/>
      </c>
      <c r="F14" s="7">
        <f>(D14-E14)/SQRT('组均值与SD'!D11^2/3+'组均值与SD'!F11^2/3)</f>
        <v/>
      </c>
      <c r="G14" s="6" t="n">
        <v>4</v>
      </c>
      <c r="H14" s="7">
        <f>T.DIST.2T(ABS(F14),G14)</f>
        <v/>
      </c>
      <c r="I14" s="7">
        <f>MIN(1,3*H14)</f>
        <v/>
      </c>
    </row>
    <row r="15">
      <c r="B15" s="6" t="inlineStr">
        <is>
          <t>Nuclear p65 fraction</t>
        </is>
      </c>
      <c r="C15" s="6" t="inlineStr">
        <is>
          <t>HKSA+Baicalein vs HKSA</t>
        </is>
      </c>
      <c r="D15" s="7">
        <f>'组均值与SD'!E10</f>
        <v/>
      </c>
      <c r="E15" s="7">
        <f>'组均值与SD'!F10</f>
        <v/>
      </c>
      <c r="F15" s="7">
        <f>(D15-E15)/SQRT('组均值与SD'!E11^2/3+'组均值与SD'!F11^2/3)</f>
        <v/>
      </c>
      <c r="G15" s="6" t="n">
        <v>4</v>
      </c>
      <c r="H15" s="7">
        <f>T.DIST.2T(ABS(F15),G15)</f>
        <v/>
      </c>
      <c r="I15" s="7">
        <f>MIN(1,3*H15)</f>
        <v/>
      </c>
    </row>
    <row r="16">
      <c r="B16" s="6" t="inlineStr">
        <is>
          <t>Cytoplasmic p65 fraction</t>
        </is>
      </c>
      <c r="C16" s="6" t="inlineStr">
        <is>
          <t>Control vs HKSA+Baicalein</t>
        </is>
      </c>
      <c r="D16" s="7">
        <f>'组均值与SD'!D12</f>
        <v/>
      </c>
      <c r="E16" s="7">
        <f>'组均值与SD'!E12</f>
        <v/>
      </c>
      <c r="F16" s="7">
        <f>(D16-E16)/SQRT('组均值与SD'!D13^2/3+'组均值与SD'!E13^2/3)</f>
        <v/>
      </c>
      <c r="G16" s="6" t="n">
        <v>4</v>
      </c>
      <c r="H16" s="7">
        <f>T.DIST.2T(ABS(F16),G16)</f>
        <v/>
      </c>
      <c r="I16" s="7">
        <f>MIN(1,3*H16)</f>
        <v/>
      </c>
    </row>
    <row r="17">
      <c r="B17" s="6" t="inlineStr">
        <is>
          <t>Cytoplasmic p65 fraction</t>
        </is>
      </c>
      <c r="C17" s="6" t="inlineStr">
        <is>
          <t>Control vs HKSA</t>
        </is>
      </c>
      <c r="D17" s="7">
        <f>'组均值与SD'!D12</f>
        <v/>
      </c>
      <c r="E17" s="7">
        <f>'组均值与SD'!F12</f>
        <v/>
      </c>
      <c r="F17" s="7">
        <f>(D17-E17)/SQRT('组均值与SD'!D13^2/3+'组均值与SD'!F13^2/3)</f>
        <v/>
      </c>
      <c r="G17" s="6" t="n">
        <v>4</v>
      </c>
      <c r="H17" s="7">
        <f>T.DIST.2T(ABS(F17),G17)</f>
        <v/>
      </c>
      <c r="I17" s="7">
        <f>MIN(1,3*H17)</f>
        <v/>
      </c>
    </row>
    <row r="18">
      <c r="B18" s="6" t="inlineStr">
        <is>
          <t>Cytoplasmic p65 fraction</t>
        </is>
      </c>
      <c r="C18" s="6" t="inlineStr">
        <is>
          <t>HKSA+Baicalein vs HKSA</t>
        </is>
      </c>
      <c r="D18" s="7">
        <f>'组均值与SD'!E12</f>
        <v/>
      </c>
      <c r="E18" s="7">
        <f>'组均值与SD'!F12</f>
        <v/>
      </c>
      <c r="F18" s="7">
        <f>(D18-E18)/SQRT('组均值与SD'!E13^2/3+'组均值与SD'!F13^2/3)</f>
        <v/>
      </c>
      <c r="G18" s="6" t="n">
        <v>4</v>
      </c>
      <c r="H18" s="7">
        <f>T.DIST.2T(ABS(F18),G18)</f>
        <v/>
      </c>
      <c r="I18" s="7">
        <f>MIN(1,3*H18)</f>
        <v/>
      </c>
    </row>
  </sheetData>
  <mergeCells count="1">
    <mergeCell ref="B1:I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J15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 ht="28" customHeight="1">
      <c r="B1" s="1" t="inlineStr">
        <is>
          <t>与 v91 正文数值逐项核对</t>
        </is>
      </c>
    </row>
    <row r="3" ht="30" customHeight="1">
      <c r="B3" s="5" t="inlineStr">
        <is>
          <t>指标</t>
        </is>
      </c>
      <c r="C3" s="5" t="inlineStr">
        <is>
          <t>分组</t>
        </is>
      </c>
      <c r="D3" s="5" t="inlineStr">
        <is>
          <t>v91 Mean</t>
        </is>
      </c>
      <c r="E3" s="5" t="inlineStr">
        <is>
          <t>v91 SD</t>
        </is>
      </c>
      <c r="F3" s="5" t="inlineStr">
        <is>
          <t>重算 Mean</t>
        </is>
      </c>
      <c r="G3" s="5" t="inlineStr">
        <is>
          <t>重算 SD</t>
        </is>
      </c>
      <c r="H3" s="5" t="inlineStr">
        <is>
          <t>Mean 差</t>
        </is>
      </c>
      <c r="I3" s="5" t="inlineStr">
        <is>
          <t>SD 差</t>
        </is>
      </c>
      <c r="J3" s="5" t="inlineStr">
        <is>
          <t>三位小数核对</t>
        </is>
      </c>
    </row>
    <row r="4">
      <c r="B4" s="6" t="inlineStr">
        <is>
          <t>p-IκBα/IκBα</t>
        </is>
      </c>
      <c r="C4" s="6" t="inlineStr">
        <is>
          <t>Control</t>
        </is>
      </c>
      <c r="D4" s="9" t="n">
        <v>0.265</v>
      </c>
      <c r="E4" s="9" t="n">
        <v>0.026</v>
      </c>
      <c r="F4" s="9">
        <f>'组均值与SD'!D4</f>
        <v/>
      </c>
      <c r="G4" s="9">
        <f>'组均值与SD'!D5</f>
        <v/>
      </c>
      <c r="H4" s="9">
        <f>F4-D4</f>
        <v/>
      </c>
      <c r="I4" s="9">
        <f>G4-E4</f>
        <v/>
      </c>
      <c r="J4" s="6">
        <f>IF(AND(ROUND(F4,3)=D4,ROUND(G4,3)=E4),"一致","需核查")</f>
        <v/>
      </c>
    </row>
    <row r="5">
      <c r="B5" s="6" t="inlineStr">
        <is>
          <t>p-IκBα/IκBα</t>
        </is>
      </c>
      <c r="C5" s="6" t="inlineStr">
        <is>
          <t>HKSA+Baicalein</t>
        </is>
      </c>
      <c r="D5" s="9" t="n">
        <v>0.513</v>
      </c>
      <c r="E5" s="9" t="n">
        <v>0.042</v>
      </c>
      <c r="F5" s="9">
        <f>'组均值与SD'!E4</f>
        <v/>
      </c>
      <c r="G5" s="9">
        <f>'组均值与SD'!E5</f>
        <v/>
      </c>
      <c r="H5" s="9">
        <f>F5-D5</f>
        <v/>
      </c>
      <c r="I5" s="9">
        <f>G5-E5</f>
        <v/>
      </c>
      <c r="J5" s="6">
        <f>IF(AND(ROUND(F5,3)=D5,ROUND(G5,3)=E5),"一致","需核查")</f>
        <v/>
      </c>
    </row>
    <row r="6">
      <c r="B6" s="6" t="inlineStr">
        <is>
          <t>p-IκBα/IκBα</t>
        </is>
      </c>
      <c r="C6" s="6" t="inlineStr">
        <is>
          <t>HKSA</t>
        </is>
      </c>
      <c r="D6" s="9" t="n">
        <v>0.965</v>
      </c>
      <c r="E6" s="9" t="n">
        <v>0.022</v>
      </c>
      <c r="F6" s="9">
        <f>'组均值与SD'!F4</f>
        <v/>
      </c>
      <c r="G6" s="9">
        <f>'组均值与SD'!F5</f>
        <v/>
      </c>
      <c r="H6" s="9">
        <f>F6-D6</f>
        <v/>
      </c>
      <c r="I6" s="9">
        <f>G6-E6</f>
        <v/>
      </c>
      <c r="J6" s="6">
        <f>IF(AND(ROUND(F6,3)=D6,ROUND(G6,3)=E6),"一致","需核查")</f>
        <v/>
      </c>
    </row>
    <row r="7">
      <c r="B7" s="6" t="inlineStr">
        <is>
          <t>p-p65/p65</t>
        </is>
      </c>
      <c r="C7" s="6" t="inlineStr">
        <is>
          <t>Control</t>
        </is>
      </c>
      <c r="D7" s="9" t="n">
        <v>0.124</v>
      </c>
      <c r="E7" s="9" t="n">
        <v>0.004</v>
      </c>
      <c r="F7" s="9">
        <f>'组均值与SD'!D6</f>
        <v/>
      </c>
      <c r="G7" s="9">
        <f>'组均值与SD'!D7</f>
        <v/>
      </c>
      <c r="H7" s="9">
        <f>F7-D7</f>
        <v/>
      </c>
      <c r="I7" s="9">
        <f>G7-E7</f>
        <v/>
      </c>
      <c r="J7" s="6">
        <f>IF(AND(ROUND(F7,3)=D7,ROUND(G7,3)=E7),"一致","需核查")</f>
        <v/>
      </c>
    </row>
    <row r="8">
      <c r="B8" s="6" t="inlineStr">
        <is>
          <t>p-p65/p65</t>
        </is>
      </c>
      <c r="C8" s="6" t="inlineStr">
        <is>
          <t>HKSA+Baicalein</t>
        </is>
      </c>
      <c r="D8" s="9" t="n">
        <v>0.381</v>
      </c>
      <c r="E8" s="9" t="n">
        <v>0.012</v>
      </c>
      <c r="F8" s="9">
        <f>'组均值与SD'!E6</f>
        <v/>
      </c>
      <c r="G8" s="9">
        <f>'组均值与SD'!E7</f>
        <v/>
      </c>
      <c r="H8" s="9">
        <f>F8-D8</f>
        <v/>
      </c>
      <c r="I8" s="9">
        <f>G8-E8</f>
        <v/>
      </c>
      <c r="J8" s="6">
        <f>IF(AND(ROUND(F8,3)=D8,ROUND(G8,3)=E8),"一致","需核查")</f>
        <v/>
      </c>
    </row>
    <row r="9">
      <c r="B9" s="6" t="inlineStr">
        <is>
          <t>p-p65/p65</t>
        </is>
      </c>
      <c r="C9" s="6" t="inlineStr">
        <is>
          <t>HKSA</t>
        </is>
      </c>
      <c r="D9" s="9" t="n">
        <v>0.775</v>
      </c>
      <c r="E9" s="9" t="n">
        <v>0.003</v>
      </c>
      <c r="F9" s="9">
        <f>'组均值与SD'!F6</f>
        <v/>
      </c>
      <c r="G9" s="9">
        <f>'组均值与SD'!F7</f>
        <v/>
      </c>
      <c r="H9" s="9">
        <f>F9-D9</f>
        <v/>
      </c>
      <c r="I9" s="9">
        <f>G9-E9</f>
        <v/>
      </c>
      <c r="J9" s="6">
        <f>IF(AND(ROUND(F9,3)=D9,ROUND(G9,3)=E9),"一致","需核查")</f>
        <v/>
      </c>
    </row>
    <row r="10">
      <c r="B10" s="6" t="inlineStr">
        <is>
          <t>Nuclear/Cytoplasmic p65</t>
        </is>
      </c>
      <c r="C10" s="6" t="inlineStr">
        <is>
          <t>Control</t>
        </is>
      </c>
      <c r="D10" s="9" t="n">
        <v>0.232</v>
      </c>
      <c r="E10" s="9" t="n">
        <v>0.013</v>
      </c>
      <c r="F10" s="9">
        <f>'组均值与SD'!D8</f>
        <v/>
      </c>
      <c r="G10" s="9">
        <f>'组均值与SD'!D9</f>
        <v/>
      </c>
      <c r="H10" s="9">
        <f>F10-D10</f>
        <v/>
      </c>
      <c r="I10" s="9">
        <f>G10-E10</f>
        <v/>
      </c>
      <c r="J10" s="6">
        <f>IF(AND(ROUND(F10,3)=D10,ROUND(G10,3)=E10),"一致","需核查")</f>
        <v/>
      </c>
    </row>
    <row r="11">
      <c r="B11" s="6" t="inlineStr">
        <is>
          <t>Nuclear/Cytoplasmic p65</t>
        </is>
      </c>
      <c r="C11" s="6" t="inlineStr">
        <is>
          <t>HKSA+Baicalein</t>
        </is>
      </c>
      <c r="D11" s="9" t="n">
        <v>1.005</v>
      </c>
      <c r="E11" s="9" t="n">
        <v>0.08</v>
      </c>
      <c r="F11" s="9">
        <f>'组均值与SD'!E8</f>
        <v/>
      </c>
      <c r="G11" s="9">
        <f>'组均值与SD'!E9</f>
        <v/>
      </c>
      <c r="H11" s="9">
        <f>F11-D11</f>
        <v/>
      </c>
      <c r="I11" s="9">
        <f>G11-E11</f>
        <v/>
      </c>
      <c r="J11" s="6">
        <f>IF(AND(ROUND(F11,3)=D11,ROUND(G11,3)=E11),"一致","需核查")</f>
        <v/>
      </c>
    </row>
    <row r="12">
      <c r="B12" s="6" t="inlineStr">
        <is>
          <t>Nuclear/Cytoplasmic p65</t>
        </is>
      </c>
      <c r="C12" s="6" t="inlineStr">
        <is>
          <t>HKSA</t>
        </is>
      </c>
      <c r="D12" s="9" t="n">
        <v>3.822</v>
      </c>
      <c r="E12" s="9" t="n">
        <v>0.139</v>
      </c>
      <c r="F12" s="9">
        <f>'组均值与SD'!F8</f>
        <v/>
      </c>
      <c r="G12" s="9">
        <f>'组均值与SD'!F9</f>
        <v/>
      </c>
      <c r="H12" s="9">
        <f>F12-D12</f>
        <v/>
      </c>
      <c r="I12" s="9">
        <f>G12-E12</f>
        <v/>
      </c>
      <c r="J12" s="6">
        <f>IF(AND(ROUND(F12,3)=D12,ROUND(G12,3)=E12),"一致","需核查")</f>
        <v/>
      </c>
    </row>
    <row r="13">
      <c r="B13" s="6" t="inlineStr">
        <is>
          <t>Nuclear p65 fraction</t>
        </is>
      </c>
      <c r="C13" s="6" t="inlineStr">
        <is>
          <t>Control</t>
        </is>
      </c>
      <c r="D13" s="9" t="n">
        <v>0.188</v>
      </c>
      <c r="E13" s="9" t="n">
        <v>0.008999999999999999</v>
      </c>
      <c r="F13" s="9">
        <f>'组均值与SD'!D10</f>
        <v/>
      </c>
      <c r="G13" s="9">
        <f>'组均值与SD'!D11</f>
        <v/>
      </c>
      <c r="H13" s="9">
        <f>F13-D13</f>
        <v/>
      </c>
      <c r="I13" s="9">
        <f>G13-E13</f>
        <v/>
      </c>
      <c r="J13" s="6">
        <f>IF(AND(ROUND(F13,3)=D13,ROUND(G13,3)=E13),"一致","需核查")</f>
        <v/>
      </c>
    </row>
    <row r="14">
      <c r="B14" s="6" t="inlineStr">
        <is>
          <t>Nuclear p65 fraction</t>
        </is>
      </c>
      <c r="C14" s="6" t="inlineStr">
        <is>
          <t>HKSA+Baicalein</t>
        </is>
      </c>
      <c r="D14" s="9" t="n">
        <v>0.501</v>
      </c>
      <c r="E14" s="9" t="n">
        <v>0.02</v>
      </c>
      <c r="F14" s="9">
        <f>'组均值与SD'!E10</f>
        <v/>
      </c>
      <c r="G14" s="9">
        <f>'组均值与SD'!E11</f>
        <v/>
      </c>
      <c r="H14" s="9">
        <f>F14-D14</f>
        <v/>
      </c>
      <c r="I14" s="9">
        <f>G14-E14</f>
        <v/>
      </c>
      <c r="J14" s="6">
        <f>IF(AND(ROUND(F14,3)=D14,ROUND(G14,3)=E14),"一致","需核查")</f>
        <v/>
      </c>
    </row>
    <row r="15">
      <c r="B15" s="6" t="inlineStr">
        <is>
          <t>Nuclear p65 fraction</t>
        </is>
      </c>
      <c r="C15" s="6" t="inlineStr">
        <is>
          <t>HKSA</t>
        </is>
      </c>
      <c r="D15" s="9" t="n">
        <v>0.792</v>
      </c>
      <c r="E15" s="9" t="n">
        <v>0.006</v>
      </c>
      <c r="F15" s="9">
        <f>'组均值与SD'!F10</f>
        <v/>
      </c>
      <c r="G15" s="9">
        <f>'组均值与SD'!F11</f>
        <v/>
      </c>
      <c r="H15" s="9">
        <f>F15-D15</f>
        <v/>
      </c>
      <c r="I15" s="9">
        <f>G15-E15</f>
        <v/>
      </c>
      <c r="J15" s="6">
        <f>IF(AND(ROUND(F15,3)=D15,ROUND(G15,3)=E15),"一致","需核查")</f>
        <v/>
      </c>
    </row>
  </sheetData>
  <mergeCells count="1">
    <mergeCell ref="B1:J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E8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8" customWidth="1" min="4" max="4"/>
    <col width="68" customWidth="1" min="5" max="5"/>
  </cols>
  <sheetData>
    <row r="1" ht="28" customHeight="1">
      <c r="B1" s="1" t="inlineStr">
        <is>
          <t>WB 原始资料文件清单与 SHA-256</t>
        </is>
      </c>
    </row>
    <row r="3" ht="30" customHeight="1">
      <c r="B3" s="5" t="inlineStr">
        <is>
          <t>文件名</t>
        </is>
      </c>
      <c r="C3" s="5" t="inlineStr">
        <is>
          <t>字节数</t>
        </is>
      </c>
      <c r="D3" s="5" t="inlineStr">
        <is>
          <t>像素尺寸</t>
        </is>
      </c>
      <c r="E3" s="5" t="inlineStr">
        <is>
          <t>SHA-256</t>
        </is>
      </c>
    </row>
    <row r="4">
      <c r="B4" s="6" t="inlineStr">
        <is>
          <t>022.pptx</t>
        </is>
      </c>
      <c r="C4" s="6" t="n">
        <v>3487473</v>
      </c>
      <c r="D4" s="6" t="inlineStr"/>
      <c r="E4" s="6" t="inlineStr">
        <is>
          <t>9bf77e98b4a8105bdf7b6946e001b0a10787d170e0ccd394bbc5125021eab0de</t>
        </is>
      </c>
    </row>
    <row r="5">
      <c r="B5" s="6" t="inlineStr">
        <is>
          <t>044.pptx</t>
        </is>
      </c>
      <c r="C5" s="6" t="n">
        <v>98775</v>
      </c>
      <c r="D5" s="6" t="inlineStr"/>
      <c r="E5" s="6" t="inlineStr">
        <is>
          <t>c56f02fd153ea6a4a4d2a5eea0e049bb4c97858868c3063c387c43f5de2cd640</t>
        </is>
      </c>
    </row>
    <row r="6">
      <c r="B6" s="6" t="inlineStr">
        <is>
          <t>10.14灰度值(1).xlsx</t>
        </is>
      </c>
      <c r="C6" s="6" t="n">
        <v>140161</v>
      </c>
      <c r="D6" s="6" t="inlineStr"/>
      <c r="E6" s="6" t="inlineStr">
        <is>
          <t>c485c61e61cfc0aa27d7dbb23b74172a9c00f44f3330ba9fcb537feab9b5a70e</t>
        </is>
      </c>
    </row>
    <row r="7">
      <c r="B7" s="6" t="inlineStr">
        <is>
          <t>10144(1).rar</t>
        </is>
      </c>
      <c r="C7" s="6" t="n">
        <v>8471352</v>
      </c>
      <c r="D7" s="6" t="inlineStr"/>
      <c r="E7" s="6" t="inlineStr">
        <is>
          <t>abd8d9cc8b42d0f5d9ec941a32b73d2b9f8fa303edc0c3f88abf1e051d1ed6cc</t>
        </is>
      </c>
    </row>
    <row r="8">
      <c r="B8" s="6" t="inlineStr">
        <is>
          <t>ea384639fcf23194e772899e4eb8a958.jpg</t>
        </is>
      </c>
      <c r="C8" s="6" t="n">
        <v>129773</v>
      </c>
      <c r="D8" s="6" t="inlineStr">
        <is>
          <t>1920×1080</t>
        </is>
      </c>
      <c r="E8" s="6" t="inlineStr">
        <is>
          <t>ede72b8462912822f58227510b2cf186a534c72439376fc52510f6ebc1713d30</t>
        </is>
      </c>
    </row>
  </sheetData>
  <autoFilter ref="B3:E8"/>
  <mergeCells count="1">
    <mergeCell ref="B1:E1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C10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00" customWidth="1" min="3" max="3"/>
  </cols>
  <sheetData>
    <row r="1" ht="28" customHeight="1">
      <c r="B1" s="1" t="inlineStr">
        <is>
          <t>来源与核对口径</t>
        </is>
      </c>
    </row>
    <row r="3" ht="34" customHeight="1">
      <c r="B3" s="2" t="inlineStr">
        <is>
          <t>灰度工作簿</t>
        </is>
      </c>
      <c r="C3" s="3" t="inlineStr">
        <is>
          <t>06_source_material/wetlab_wb_raw_20261030/10.14灰度值(1).xlsx</t>
        </is>
      </c>
    </row>
    <row r="4" ht="34" customHeight="1">
      <c r="B4" s="2" t="inlineStr">
        <is>
          <t>原始膜目录</t>
        </is>
      </c>
      <c r="C4" s="3" t="inlineStr">
        <is>
          <t>06_source_material/wetlab_wb_raw_20261030/</t>
        </is>
      </c>
    </row>
    <row r="5" ht="34" customHeight="1">
      <c r="B5" s="2" t="inlineStr">
        <is>
          <t>正文基线</t>
        </is>
      </c>
      <c r="C5" s="3" t="inlineStr">
        <is>
          <t>01_manuscript/SHXD_PJI_中文全稿_v91_MD参数与ELISA重复伦理核定.docx</t>
        </is>
      </c>
    </row>
    <row r="6" ht="34" customHeight="1">
      <c r="B6" s="2" t="inlineStr">
        <is>
          <t>缩略核对图</t>
        </is>
      </c>
      <c r="C6" s="3" t="inlineStr">
        <is>
          <t>07_audit/wb_raw_20261030/</t>
        </is>
      </c>
    </row>
    <row r="7" ht="34" customHeight="1">
      <c r="B7" s="2" t="inlineStr">
        <is>
          <t>计算定义</t>
        </is>
      </c>
      <c r="C7" s="3" t="inlineStr">
        <is>
          <t>p-IκBα/IκBα 与 p-p65/p65 为同次重复内直比；核/质 p65 为 Nuclear/Cytoplasmic；核占比为 Nuclear/(Nuclear+Cytoplasmic)。</t>
        </is>
      </c>
    </row>
    <row r="8" ht="34" customHeight="1">
      <c r="B8" s="2" t="inlineStr">
        <is>
          <t>统计定义</t>
        </is>
      </c>
      <c r="C8" s="3" t="inlineStr">
        <is>
          <t>均值与样本 SD，n=3；one-way ANOVA；两两比较采用等方差 Student t 检验（每对 df=4），3 次比较 Bonferroni 校正，与现稿统计管线一致。</t>
        </is>
      </c>
    </row>
    <row r="9" ht="34" customHeight="1">
      <c r="B9" s="2" t="inlineStr">
        <is>
          <t>内参说明</t>
        </is>
      </c>
      <c r="C9" s="3" t="inlineStr">
        <is>
          <t>用户确认沿用此前稿件的 β-actin；附件中其他内参记录不覆盖本次选择。</t>
        </is>
      </c>
    </row>
    <row r="10" ht="34" customHeight="1">
      <c r="B10" s="2" t="inlineStr">
        <is>
          <t>外部来源 URL</t>
        </is>
      </c>
      <c r="C10" s="3" t="inlineStr">
        <is>
          <t>无；本工作簿只使用本地原始实验文件与现稿。</t>
        </is>
      </c>
    </row>
  </sheetData>
  <mergeCells count="1">
    <mergeCell ref="B1:C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2026-10-29T16:37:43Z</dcterms:created>
  <dcterms:modified xmlns:dcterms="http://purl.org/dc/terms/" xmlns:xsi="http://www.w3.org/2001/XMLSchema-instance" xsi:type="dcterms:W3CDTF">2026-10-29T16:37:43Z</dcterms:modified>
</cp:coreProperties>
</file>